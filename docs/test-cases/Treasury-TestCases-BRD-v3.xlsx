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M1-FX Spot Forward" sheetId="2" state="visible" r:id="rId2"/>
    <sheet xmlns:r="http://schemas.openxmlformats.org/officeDocument/2006/relationships" name="M1-FX Swap" sheetId="3" state="visible" r:id="rId3"/>
    <sheet xmlns:r="http://schemas.openxmlformats.org/officeDocument/2006/relationships" name="M2-GTCG Govi Bond" sheetId="4" state="visible" r:id="rId4"/>
    <sheet xmlns:r="http://schemas.openxmlformats.org/officeDocument/2006/relationships" name="M2-GTCG FI Bond CCTG" sheetId="5" state="visible" r:id="rId5"/>
    <sheet xmlns:r="http://schemas.openxmlformats.org/officeDocument/2006/relationships" name="M3-MM Liên NH" sheetId="6" state="visible" r:id="rId6"/>
    <sheet xmlns:r="http://schemas.openxmlformats.org/officeDocument/2006/relationships" name="M3-MM OMO" sheetId="7" state="visible" r:id="rId7"/>
    <sheet xmlns:r="http://schemas.openxmlformats.org/officeDocument/2006/relationships" name="M3-MM Repo KBNN" sheetId="8" state="visible" r:id="rId8"/>
    <sheet xmlns:r="http://schemas.openxmlformats.org/officeDocument/2006/relationships" name="M4-Hạn mức" sheetId="9" state="visible" r:id="rId9"/>
    <sheet xmlns:r="http://schemas.openxmlformats.org/officeDocument/2006/relationships" name="M5-TTQT" sheetId="10" state="visible" r:id="rId10"/>
    <sheet xmlns:r="http://schemas.openxmlformats.org/officeDocument/2006/relationships" name="Luồng đặc biệt" sheetId="11" state="visible" r:id="rId11"/>
    <sheet xmlns:r="http://schemas.openxmlformats.org/officeDocument/2006/relationships" name="Phân quyền 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1F4E79"/>
      <sz val="13"/>
    </font>
    <font>
      <name val="Arial"/>
      <b val="1"/>
      <sz val="11"/>
    </font>
    <font>
      <name val="Arial"/>
      <sz val="11"/>
    </font>
    <font>
      <name val="Arial"/>
      <b val="1"/>
      <color rgb="001F4E79"/>
      <sz val="12"/>
    </font>
    <font>
      <name val="Arial"/>
      <color rgb="00006100"/>
      <sz val="10"/>
    </font>
    <font>
      <name val="Arial"/>
      <color rgb="009C6500"/>
      <sz val="10"/>
    </font>
    <font>
      <name val="Arial"/>
      <color rgb="009C000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12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4444"/>
        <bgColor rgb="00FF4444"/>
      </patternFill>
    </fill>
    <fill>
      <patternFill patternType="solid">
        <fgColor rgb="00FFFFFF"/>
        <bgColor rgb="00FFFFFF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vertical="top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5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0" customWidth="1" min="4" max="4"/>
  </cols>
  <sheetData>
    <row r="2">
      <c r="B2" s="1" t="inlineStr">
        <is>
          <t>TEST CASES — HỆ THỐNG TREASURY</t>
        </is>
      </c>
    </row>
    <row r="3">
      <c r="B3" s="2" t="inlineStr">
        <is>
          <t>KIENLONGBANK — BRD Phiên bản 3.0</t>
        </is>
      </c>
    </row>
    <row r="5">
      <c r="B5" s="3" t="inlineStr">
        <is>
          <t>Mã tài liệu:</t>
        </is>
      </c>
      <c r="C5" s="4" t="inlineStr">
        <is>
          <t>TC-Treasury-BRD-v3</t>
        </is>
      </c>
    </row>
    <row r="6">
      <c r="B6" s="3" t="inlineStr">
        <is>
          <t>Phiên bản BRD:</t>
        </is>
      </c>
      <c r="C6" s="4" t="inlineStr">
        <is>
          <t>3.0 (02/04/2026)</t>
        </is>
      </c>
    </row>
    <row r="7">
      <c r="B7" s="3" t="inlineStr">
        <is>
          <t>Ngày tạo test case:</t>
        </is>
      </c>
      <c r="C7" s="4" t="inlineStr">
        <is>
          <t>03/04/2026</t>
        </is>
      </c>
    </row>
    <row r="8">
      <c r="B8" s="3" t="inlineStr">
        <is>
          <t>Người tạo:</t>
        </is>
      </c>
      <c r="C8" s="4" t="inlineStr">
        <is>
          <t>KAI (AI Banking Assistant)</t>
        </is>
      </c>
    </row>
    <row r="9">
      <c r="B9" s="3" t="inlineStr">
        <is>
          <t>Người review:</t>
        </is>
      </c>
      <c r="C9" s="4" t="inlineStr">
        <is>
          <t>Trần Thị Linh Phương (K.NV&amp;ĐCTC)</t>
        </is>
      </c>
    </row>
    <row r="10">
      <c r="B10" s="3" t="inlineStr">
        <is>
          <t>Tổng số test case:</t>
        </is>
      </c>
      <c r="C10" s="4" t="inlineStr">
        <is>
          <t>303</t>
        </is>
      </c>
    </row>
    <row r="11">
      <c r="B11" s="3" t="inlineStr">
        <is>
          <t>Tổng số sheet:</t>
        </is>
      </c>
      <c r="C11" s="4" t="inlineStr">
        <is>
          <t>12 (bao gồm sheet hướng dẫn)</t>
        </is>
      </c>
    </row>
    <row r="13">
      <c r="B13" s="5" t="inlineStr">
        <is>
          <t>CẤU TRÚC FILE</t>
        </is>
      </c>
    </row>
    <row r="14">
      <c r="B14" s="3" t="inlineStr">
        <is>
          <t>M1-FX Spot/Forward</t>
        </is>
      </c>
      <c r="C14" s="4" t="inlineStr">
        <is>
          <t>Test case giao dịch FX Giao ngay / Kỳ hạn</t>
        </is>
      </c>
    </row>
    <row r="15">
      <c r="B15" s="3" t="inlineStr">
        <is>
          <t>M1-FX Swap</t>
        </is>
      </c>
      <c r="C15" s="4" t="inlineStr">
        <is>
          <t>Test case giao dịch FX Hoán đổi</t>
        </is>
      </c>
    </row>
    <row r="16">
      <c r="B16" s="3" t="inlineStr">
        <is>
          <t>M2-GTCG Govi Bond</t>
        </is>
      </c>
      <c r="C16" s="4" t="inlineStr">
        <is>
          <t>Test case giao dịch Trái phiếu Chính phủ</t>
        </is>
      </c>
    </row>
    <row r="17">
      <c r="B17" s="3" t="inlineStr">
        <is>
          <t>M2-GTCG FI Bond &amp; CCTG</t>
        </is>
      </c>
      <c r="C17" s="4" t="inlineStr">
        <is>
          <t>Test case giao dịch FI Bond và CCTG</t>
        </is>
      </c>
    </row>
    <row r="18">
      <c r="B18" s="3" t="inlineStr">
        <is>
          <t>M3-MM Liên NH</t>
        </is>
      </c>
      <c r="C18" s="4" t="inlineStr">
        <is>
          <t>Test case giao dịch Liên ngân hàng</t>
        </is>
      </c>
    </row>
    <row r="19">
      <c r="B19" s="3" t="inlineStr">
        <is>
          <t>M3-MM OMO</t>
        </is>
      </c>
      <c r="C19" s="4" t="inlineStr">
        <is>
          <t>Test case giao dịch thị trường mở</t>
        </is>
      </c>
    </row>
    <row r="20">
      <c r="B20" s="3" t="inlineStr">
        <is>
          <t>M3-MM Repo KBNN</t>
        </is>
      </c>
      <c r="C20" s="4" t="inlineStr">
        <is>
          <t>Test case giao dịch Repo Kho bạc Nhà nước</t>
        </is>
      </c>
    </row>
    <row r="21">
      <c r="B21" s="3" t="inlineStr">
        <is>
          <t>M4-Hạn mức</t>
        </is>
      </c>
      <c r="C21" s="4" t="inlineStr">
        <is>
          <t>Test case phê duyệt hạn mức liên ngân hàng</t>
        </is>
      </c>
    </row>
    <row r="22">
      <c r="B22" s="3" t="inlineStr">
        <is>
          <t>M5-TTQT</t>
        </is>
      </c>
      <c r="C22" s="4" t="inlineStr">
        <is>
          <t>Test case thanh toán quốc tế</t>
        </is>
      </c>
    </row>
    <row r="23">
      <c r="B23" s="3" t="inlineStr">
        <is>
          <t>Luồng đặc biệt</t>
        </is>
      </c>
      <c r="C23" s="4" t="inlineStr">
        <is>
          <t>Recall, Hủy, Clone giao dịch</t>
        </is>
      </c>
    </row>
    <row r="24">
      <c r="B24" s="3" t="inlineStr">
        <is>
          <t>Phân quyền &amp; Audit</t>
        </is>
      </c>
      <c r="C24" s="4" t="inlineStr">
        <is>
          <t>Phân quyền truy cập và kiểm toán</t>
        </is>
      </c>
    </row>
    <row r="26">
      <c r="B26" s="5" t="inlineStr">
        <is>
          <t>HƯỚNG DẪN ĐỌC</t>
        </is>
      </c>
    </row>
    <row r="27">
      <c r="B27" s="3" t="inlineStr">
        <is>
          <t>Cột 'Loại'</t>
        </is>
      </c>
      <c r="C27" s="4" t="inlineStr">
        <is>
          <t>Happy = Luồng chính thành công; Edge = Trường hợp biên; Negative = Kiểm tra lỗi/từ chối</t>
        </is>
      </c>
    </row>
    <row r="28">
      <c r="B28" s="3" t="inlineStr">
        <is>
          <t>Cột 'Mức độ'</t>
        </is>
      </c>
      <c r="C28" s="4" t="inlineStr">
        <is>
          <t>Critical = Lỗi nghiêm trọng ảnh hưởng nghiệp vụ; High = Lỗi quan trọng; Medium = Lỗi trung bình; Low = Lỗi nhỏ</t>
        </is>
      </c>
    </row>
    <row r="29">
      <c r="B29" s="3" t="inlineStr">
        <is>
          <t>Mã TC</t>
        </is>
      </c>
      <c r="C29" s="4" t="inlineStr">
        <is>
          <t>Định dạng: [Module]-[Loại]-[Số]. VD: FX-SP-001 = FX Spot test case #001</t>
        </is>
      </c>
    </row>
    <row r="30">
      <c r="B30" s="3" t="inlineStr">
        <is>
          <t>Ghi chú</t>
        </is>
      </c>
      <c r="C30" s="4" t="inlineStr">
        <is>
          <t>Chứa lưu ý đặc biệt, tham chiếu BRD section, hoặc lỗi v1/v2 đã sửa</t>
        </is>
      </c>
    </row>
    <row r="32">
      <c r="B32" s="5" t="inlineStr">
        <is>
          <t>COLOR LEGEND</t>
        </is>
      </c>
    </row>
    <row r="33">
      <c r="B33" s="6" t="inlineStr">
        <is>
          <t>Happy (Xanh lá)</t>
        </is>
      </c>
    </row>
    <row r="34">
      <c r="B34" s="7" t="inlineStr">
        <is>
          <t>Edge (Vàng cam)</t>
        </is>
      </c>
    </row>
    <row r="35">
      <c r="B35" s="8" t="inlineStr">
        <is>
          <t>Negative (Đỏ)</t>
        </is>
      </c>
    </row>
    <row r="37">
      <c r="B37" s="5" t="inlineStr">
        <is>
          <t>⚠️ TRỌNG TÂM KIỂM THỬ</t>
        </is>
      </c>
    </row>
    <row r="38">
      <c r="B38" s="4" t="inlineStr">
        <is>
          <t>•</t>
        </is>
      </c>
      <c r="C38" s="4" t="inlineStr">
        <is>
          <t>Công thức tính toán (Thành tiền FX, Lãi MM, Tổng giá trị GTCG, Hạn mức)</t>
        </is>
      </c>
    </row>
    <row r="39">
      <c r="B39" s="4" t="inlineStr">
        <is>
          <t>•</t>
        </is>
      </c>
      <c r="C39" s="4" t="inlineStr">
        <is>
          <t>Luồng phê duyệt đúng theo từng module (GTCG không qua QLRR/TTQT, OMO/Repo KBNN không qua QLRR/TTQT)</t>
        </is>
      </c>
    </row>
    <row r="40">
      <c r="B40" s="4" t="inlineStr">
        <is>
          <t>•</t>
        </is>
      </c>
      <c r="C40" s="4" t="inlineStr">
        <is>
          <t>Xác thực ngày tháng (Ngày Giá trị, Ngày đáo hạn, Kỳ hạn, năm nhuận)</t>
        </is>
      </c>
    </row>
    <row r="41">
      <c r="B41" s="4" t="inlineStr">
        <is>
          <t>•</t>
        </is>
      </c>
      <c r="C41" s="4" t="inlineStr">
        <is>
          <t>Ràng buộc dữ liệu (tồn kho GTCG khi bán, trường bắt buộc, số âm)</t>
        </is>
      </c>
    </row>
    <row r="42">
      <c r="B42" s="4" t="inlineStr">
        <is>
          <t>•</t>
        </is>
      </c>
      <c r="C42" s="4" t="inlineStr">
        <is>
          <t>Phân quyền xem dữ liệu theo role (QLRR chỉ xem MM Liên NH, KTTC chỉ từ bước hạch toán)</t>
        </is>
      </c>
    </row>
    <row r="43">
      <c r="B43" s="4" t="inlineStr">
        <is>
          <t>•</t>
        </is>
      </c>
      <c r="C43" s="4" t="inlineStr">
        <is>
          <t>Quy ước định dạng số (GTCG dùng VN format, FX/MM dùng quốc tế)</t>
        </is>
      </c>
    </row>
    <row r="44">
      <c r="B44" s="4" t="inlineStr">
        <is>
          <t>•</t>
        </is>
      </c>
      <c r="C44" s="4" t="inlineStr">
        <is>
          <t>KTTC 2 cấp (CV KTTC cấp 1 + LĐ KTTC cấp 2)</t>
        </is>
      </c>
    </row>
    <row r="45">
      <c r="B45" s="4" t="inlineStr">
        <is>
          <t>•</t>
        </is>
      </c>
      <c r="C45" s="4" t="inlineStr">
        <is>
          <t>Hạn mức v3: FX + MM dùng chung hạn mức; FI Bond dùng Giá thanh toán cho hạn mức không TSBĐ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FX-SP-001</t>
        </is>
      </c>
      <c r="C2" s="11" t="inlineStr">
        <is>
          <t>Tạo GD Spot</t>
        </is>
      </c>
      <c r="D2" s="11" t="inlineStr">
        <is>
          <t>Tạo giao dịch Spot Sell USD/VND thành công</t>
        </is>
      </c>
      <c r="E2" s="11" t="inlineStr">
        <is>
          <t>User CV K.NV đăng nhập; Đối tác MSB tồn tại trong master data</t>
        </is>
      </c>
      <c r="F2" s="11" t="inlineStr">
        <is>
          <t>1. Chọn Loại GD = SPOT
2. Chiều = Sell
3. Nhập KL = 1,000,000.00
4. Loại tiền = USD
5. Tỷ giá = 26,005.35
6. Ngày GD = TODAY
7. Ngày Giá trị = TODAY
8. Chọn Pay code
9. Nhấn Lưu</t>
        </is>
      </c>
      <c r="G2" s="11" t="inlineStr">
        <is>
          <t>GD tạo thành công, trạng thái Open.
Thành tiền = 1,000,000.00 × 26,005.35 = 26,005,350,000.00 VND</t>
        </is>
      </c>
      <c r="H2" s="12" t="inlineStr">
        <is>
          <t>Happy</t>
        </is>
      </c>
      <c r="I2" s="13" t="inlineStr">
        <is>
          <t>Critical</t>
        </is>
      </c>
      <c r="J2" s="11" t="inlineStr">
        <is>
          <t>Công thức: USD/VND → nhân</t>
        </is>
      </c>
    </row>
    <row r="3">
      <c r="A3" s="14" t="n">
        <v>2</v>
      </c>
      <c r="B3" s="15" t="inlineStr">
        <is>
          <t>FX-SP-002</t>
        </is>
      </c>
      <c r="C3" s="15" t="inlineStr">
        <is>
          <t>Tạo GD Spot</t>
        </is>
      </c>
      <c r="D3" s="15" t="inlineStr">
        <is>
          <t>Tạo giao dịch Spot Buy EUR/USD thành công</t>
        </is>
      </c>
      <c r="E3" s="15" t="inlineStr">
        <is>
          <t>User CV K.NV; Đối tác ACB; Cặp tiền EUR/USD</t>
        </is>
      </c>
      <c r="F3" s="15" t="inlineStr">
        <is>
          <t>1. Chọn Loại GD = SPOT
2. Chiều = Buy
3. KL = 500,000.00
4. Loại tiền = EUR
5. Tỷ giá = 1.1550
6. Nhập đầy đủ thông tin
7. Lưu</t>
        </is>
      </c>
      <c r="G3" s="15" t="inlineStr">
        <is>
          <t>GD tạo thành công.
Thành tiền = 500,000.00 × 1.1550 = 577,500.00 USD
(EUR/USD → .../USD → nhân)</t>
        </is>
      </c>
      <c r="H3" s="12" t="inlineStr">
        <is>
          <t>Happy</t>
        </is>
      </c>
      <c r="I3" s="13" t="inlineStr">
        <is>
          <t>Critical</t>
        </is>
      </c>
      <c r="J3" s="15" t="inlineStr">
        <is>
          <t>Công thức: .../USD → nhân</t>
        </is>
      </c>
    </row>
    <row r="4">
      <c r="A4" s="10" t="n">
        <v>3</v>
      </c>
      <c r="B4" s="11" t="inlineStr">
        <is>
          <t>FX-SP-003</t>
        </is>
      </c>
      <c r="C4" s="11" t="inlineStr">
        <is>
          <t>Tạo GD Spot</t>
        </is>
      </c>
      <c r="D4" s="11" t="inlineStr">
        <is>
          <t>Tạo giao dịch Spot USD/JPY — công thức chia</t>
        </is>
      </c>
      <c r="E4" s="11" t="inlineStr">
        <is>
          <t>User CV K.NV; Cặp tiền USD/JPY</t>
        </is>
      </c>
      <c r="F4" s="11" t="inlineStr">
        <is>
          <t>1. SPOT, Sell
2. KL = 2,000,000.00 JPY
3. Tỷ giá = 150.25
4. Lưu</t>
        </is>
      </c>
      <c r="G4" s="11" t="inlineStr">
        <is>
          <t>Thành tiền = 2,000,000.00 ÷ 150.25 = 13,311.15 USD
(USD/JPY → USD/... → chia)</t>
        </is>
      </c>
      <c r="H4" s="12" t="inlineStr">
        <is>
          <t>Happy</t>
        </is>
      </c>
      <c r="I4" s="13" t="inlineStr">
        <is>
          <t>Critical</t>
        </is>
      </c>
      <c r="J4" s="11" t="inlineStr">
        <is>
          <t>Công thức: USD/... → chia</t>
        </is>
      </c>
    </row>
    <row r="5">
      <c r="A5" s="14" t="n">
        <v>4</v>
      </c>
      <c r="B5" s="15" t="inlineStr">
        <is>
          <t>FX-SP-004</t>
        </is>
      </c>
      <c r="C5" s="15" t="inlineStr">
        <is>
          <t>Tạo GD Spot</t>
        </is>
      </c>
      <c r="D5" s="15" t="inlineStr">
        <is>
          <t>Tạo giao dịch Spot cặp tiền chéo EUR/GBP</t>
        </is>
      </c>
      <c r="E5" s="15" t="inlineStr">
        <is>
          <t>Cặp tiền EUR/GBP (không có USD)</t>
        </is>
      </c>
      <c r="F5" s="15" t="inlineStr">
        <is>
          <t>1. SPOT, Buy
2. KL = 300,000.00 EUR
3. Tỷ giá = 0.8650
4. Lưu</t>
        </is>
      </c>
      <c r="G5" s="15" t="inlineStr">
        <is>
          <t>Thành tiền = 300,000.00 × 0.8650 = 259,500.0000 GBP
(Cặp chéo → nhân, đơn vị = tiền quote)</t>
        </is>
      </c>
      <c r="H5" s="12" t="inlineStr">
        <is>
          <t>Happy</t>
        </is>
      </c>
      <c r="I5" s="16" t="inlineStr">
        <is>
          <t>High</t>
        </is>
      </c>
      <c r="J5" s="15" t="inlineStr">
        <is>
          <t>Công thức: Cặp chéo → nhân, kết quả = tiền quote</t>
        </is>
      </c>
    </row>
    <row r="6">
      <c r="A6" s="10" t="n">
        <v>5</v>
      </c>
      <c r="B6" s="11" t="inlineStr">
        <is>
          <t>FX-SP-005</t>
        </is>
      </c>
      <c r="C6" s="11" t="inlineStr">
        <is>
          <t>Tạo GD Forward</t>
        </is>
      </c>
      <c r="D6" s="11" t="inlineStr">
        <is>
          <t>Tạo giao dịch Forward USD/VND thành công</t>
        </is>
      </c>
      <c r="E6" s="11" t="inlineStr">
        <is>
          <t>Đối tác BIDV; Loại GD = FORWARD</t>
        </is>
      </c>
      <c r="F6" s="11" t="inlineStr">
        <is>
          <t>1. Loại GD = FORWARD
2. Chiều = Buy
3. KL = 5,000,000.00
4. Tỷ giá = 26,200.50
5. Ngày Giá trị = TODAY + 30 ngày
6. Lưu</t>
        </is>
      </c>
      <c r="G6" s="11" t="inlineStr">
        <is>
          <t>GD tạo thành công, trạng thái Open.
Thành tiền = 5,000,000.00 × 26,200.50 = 131,002,500,000.00 VND</t>
        </is>
      </c>
      <c r="H6" s="12" t="inlineStr">
        <is>
          <t>Happy</t>
        </is>
      </c>
      <c r="I6" s="16" t="inlineStr">
        <is>
          <t>High</t>
        </is>
      </c>
      <c r="J6" s="11" t="inlineStr">
        <is>
          <t>Forward cho phép Ngày Giá trị &gt; TODAY</t>
        </is>
      </c>
    </row>
    <row r="7">
      <c r="A7" s="14" t="n">
        <v>6</v>
      </c>
      <c r="B7" s="15" t="inlineStr">
        <is>
          <t>FX-SP-006</t>
        </is>
      </c>
      <c r="C7" s="15" t="inlineStr">
        <is>
          <t>Luồng duyệt</t>
        </is>
      </c>
      <c r="D7" s="15" t="inlineStr">
        <is>
          <t>Luồng phê duyệt FX Spot đầy đủ: CV → TP → GĐ → KTTC (2 cấp) → Hoàn thành</t>
        </is>
      </c>
      <c r="E7" s="15" t="inlineStr">
        <is>
          <t>GD FX Spot đã tạo, TTQT = Không</t>
        </is>
      </c>
      <c r="F7" s="15" t="inlineStr">
        <is>
          <t>1. CV submit GD
2. TP K.NV duyệt cấp 1 → trạng thái Chờ K.NV duyệt
3. GĐ TT KDV/QLV duyệt cấp 2 → Chờ hạch toán
4. CV P.KTTC duyệt hạch toán cấp 1 → Chờ LĐ KTTC duyệt
5. LĐ P.KTTC duyệt hạch toán cấp 2 → Hoàn thành</t>
        </is>
      </c>
      <c r="G7" s="15" t="inlineStr">
        <is>
          <t>GD chuyển qua đúng trình tự trạng thái.
Không qua QLRR.
Kết thúc = Hoàn thành.</t>
        </is>
      </c>
      <c r="H7" s="12" t="inlineStr">
        <is>
          <t>Happy</t>
        </is>
      </c>
      <c r="I7" s="13" t="inlineStr">
        <is>
          <t>Critical</t>
        </is>
      </c>
      <c r="J7" s="15" t="inlineStr">
        <is>
          <t>FX KHÔNG qua QLRR</t>
        </is>
      </c>
    </row>
    <row r="8">
      <c r="A8" s="10" t="n">
        <v>7</v>
      </c>
      <c r="B8" s="11" t="inlineStr">
        <is>
          <t>FX-SP-007</t>
        </is>
      </c>
      <c r="C8" s="11" t="inlineStr">
        <is>
          <t>Luồng duyệt</t>
        </is>
      </c>
      <c r="D8" s="11" t="inlineStr">
        <is>
          <t>FX Spot có TTQT: CV → TP → GĐ → KTTC (2 cấp) → TTQT → Hoàn thành</t>
        </is>
      </c>
      <c r="E8" s="11" t="inlineStr">
        <is>
          <t>GD FX Spot có TTQT = Có</t>
        </is>
      </c>
      <c r="F8" s="11" t="inlineStr">
        <is>
          <t>1. CV submit
2. TP duyệt
3. GĐ duyệt
4. CV KTTC duyệt cấp 1
5. LĐ KTTC duyệt cấp 2
6. BP.TTQT duyệt → Hoàn thành</t>
        </is>
      </c>
      <c r="G8" s="11" t="inlineStr">
        <is>
          <t>GD qua đúng 6 bước phê duyệt. Trạng thái cuối = Hoàn thành.</t>
        </is>
      </c>
      <c r="H8" s="12" t="inlineStr">
        <is>
          <t>Happy</t>
        </is>
      </c>
      <c r="I8" s="13" t="inlineStr">
        <is>
          <t>Critical</t>
        </is>
      </c>
      <c r="J8" s="11" t="inlineStr"/>
    </row>
    <row r="9">
      <c r="A9" s="14" t="n">
        <v>8</v>
      </c>
      <c r="B9" s="15" t="inlineStr">
        <is>
          <t>FX-SP-008</t>
        </is>
      </c>
      <c r="C9" s="15" t="inlineStr">
        <is>
          <t>Trường tự động</t>
        </is>
      </c>
      <c r="D9" s="15" t="inlineStr">
        <is>
          <t>Tên đối tác tự động hiển thị khi chọn Đối tác</t>
        </is>
      </c>
      <c r="E9" s="15" t="inlineStr">
        <is>
          <t>Master data có đối tác MSB = 'Ngân hàng TMCP Hàng hải Việt Nam'</t>
        </is>
      </c>
      <c r="F9" s="15" t="inlineStr">
        <is>
          <t>1. Tạo GD FX mới
2. Chọn Đối tác = MSB</t>
        </is>
      </c>
      <c r="G9" s="15" t="inlineStr">
        <is>
          <t>Tên đối tác tự hiển thị: 'Ngân hàng TMCP Hàng hải Việt Nam'</t>
        </is>
      </c>
      <c r="H9" s="12" t="inlineStr">
        <is>
          <t>Happy</t>
        </is>
      </c>
      <c r="I9" s="17" t="inlineStr">
        <is>
          <t>Medium</t>
        </is>
      </c>
      <c r="J9" s="15" t="inlineStr"/>
    </row>
    <row r="10">
      <c r="A10" s="10" t="n">
        <v>9</v>
      </c>
      <c r="B10" s="11" t="inlineStr">
        <is>
          <t>FX-SP-009</t>
        </is>
      </c>
      <c r="C10" s="11" t="inlineStr">
        <is>
          <t>Trường tự động</t>
        </is>
      </c>
      <c r="D10" s="11" t="inlineStr">
        <is>
          <t>Cặp tiền tự động hiển thị theo Loại tiền giao dịch</t>
        </is>
      </c>
      <c r="E10" s="11" t="inlineStr">
        <is>
          <t>Loại tiền = EUR</t>
        </is>
      </c>
      <c r="F10" s="11" t="inlineStr">
        <is>
          <t>1. Chọn Loại tiền giao dịch = EUR</t>
        </is>
      </c>
      <c r="G10" s="11" t="inlineStr">
        <is>
          <t>Cặp tiền tự hiển thị: EUR/USD hoặc EUR/VND (tùy cấu hình)</t>
        </is>
      </c>
      <c r="H10" s="12" t="inlineStr">
        <is>
          <t>Happy</t>
        </is>
      </c>
      <c r="I10" s="17" t="inlineStr">
        <is>
          <t>Medium</t>
        </is>
      </c>
      <c r="J10" s="11" t="inlineStr"/>
    </row>
    <row r="11">
      <c r="A11" s="14" t="n">
        <v>10</v>
      </c>
      <c r="B11" s="15" t="inlineStr">
        <is>
          <t>FX-SP-010</t>
        </is>
      </c>
      <c r="C11" s="15" t="inlineStr">
        <is>
          <t>Trường tự động</t>
        </is>
      </c>
      <c r="D11" s="15" t="inlineStr">
        <is>
          <t>TTQT tự động = 'Có' khi Pay code đối tác là quốc tế</t>
        </is>
      </c>
      <c r="E11" s="15" t="inlineStr">
        <is>
          <t>Pay code đối tác = SWIFT code nước ngoài</t>
        </is>
      </c>
      <c r="F11" s="15" t="inlineStr">
        <is>
          <t>1. Chọn Pay code đối tác là tài khoản SWIFT nước ngoài</t>
        </is>
      </c>
      <c r="G11" s="15" t="inlineStr">
        <is>
          <t>Trường TTQT tự động = 'Có'</t>
        </is>
      </c>
      <c r="H11" s="12" t="inlineStr">
        <is>
          <t>Happy</t>
        </is>
      </c>
      <c r="I11" s="16" t="inlineStr">
        <is>
          <t>High</t>
        </is>
      </c>
      <c r="J11" s="15" t="inlineStr"/>
    </row>
    <row r="12">
      <c r="A12" s="10" t="n">
        <v>11</v>
      </c>
      <c r="B12" s="11" t="inlineStr">
        <is>
          <t>FX-SP-011</t>
        </is>
      </c>
      <c r="C12" s="11" t="inlineStr">
        <is>
          <t>Công thức tính toán</t>
        </is>
      </c>
      <c r="D12" s="11" t="inlineStr">
        <is>
          <t>Thành tiền USD/VND với số lớn (tỷ VND)</t>
        </is>
      </c>
      <c r="E12" s="11" t="inlineStr">
        <is>
          <t>KL = 50,000,000.00 USD, Tỷ giá = 26,005.35</t>
        </is>
      </c>
      <c r="F12" s="11" t="inlineStr">
        <is>
          <t>1. Nhập KL = 50,000,000.00
2. Tỷ giá = 26,005.35
3. Kiểm tra Thành tiền</t>
        </is>
      </c>
      <c r="G12" s="11" t="inlineStr">
        <is>
          <t>Thành tiền = 50,000,000.00 × 26,005.35 = 1,300,267,500,000.00 VND
Không bị overflow, hiển thị đúng format</t>
        </is>
      </c>
      <c r="H12" s="18" t="inlineStr">
        <is>
          <t>Edge</t>
        </is>
      </c>
      <c r="I12" s="13" t="inlineStr">
        <is>
          <t>Critical</t>
        </is>
      </c>
      <c r="J12" s="11" t="inlineStr">
        <is>
          <t>Kiểm tra overflow số lớn</t>
        </is>
      </c>
    </row>
    <row r="13">
      <c r="A13" s="14" t="n">
        <v>12</v>
      </c>
      <c r="B13" s="15" t="inlineStr">
        <is>
          <t>FX-SP-012</t>
        </is>
      </c>
      <c r="C13" s="15" t="inlineStr">
        <is>
          <t>Công thức tính toán</t>
        </is>
      </c>
      <c r="D13" s="15" t="inlineStr">
        <is>
          <t>Thành tiền với tỷ giá = 0 (division by zero cho USD/...)</t>
        </is>
      </c>
      <c r="E13" s="15" t="inlineStr">
        <is>
          <t>Cặp USD/JPY, Tỷ giá = 0</t>
        </is>
      </c>
      <c r="F13" s="15" t="inlineStr">
        <is>
          <t>1. Nhập KL = 1,000,000.00
2. Tỷ giá = 0
3. Lưu</t>
        </is>
      </c>
      <c r="G13" s="15" t="inlineStr">
        <is>
          <t>Hệ thống CHẶN, hiển thị lỗi 'Tỷ giá phải lớn hơn 0'.
Không được phép chia cho 0.</t>
        </is>
      </c>
      <c r="H13" s="19" t="inlineStr">
        <is>
          <t>Negative</t>
        </is>
      </c>
      <c r="I13" s="13" t="inlineStr">
        <is>
          <t>Critical</t>
        </is>
      </c>
      <c r="J13" s="15" t="inlineStr">
        <is>
          <t>Division by zero</t>
        </is>
      </c>
    </row>
    <row r="14">
      <c r="A14" s="10" t="n">
        <v>13</v>
      </c>
      <c r="B14" s="11" t="inlineStr">
        <is>
          <t>FX-SP-013</t>
        </is>
      </c>
      <c r="C14" s="11" t="inlineStr">
        <is>
          <t>Công thức tính toán</t>
        </is>
      </c>
      <c r="D14" s="11" t="inlineStr">
        <is>
          <t>Tỷ giá decimal precision: USD/VND = 2 số, EUR/USD = 4 số</t>
        </is>
      </c>
      <c r="E14" s="11" t="inlineStr">
        <is>
          <t>Cặp USD/VND và EUR/USD</t>
        </is>
      </c>
      <c r="F14" s="11" t="inlineStr">
        <is>
          <t>1. Cặp USD/VND: nhập tỷ giá 26,005.3567 (4 số)
2. Cặp EUR/USD: nhập tỷ giá 1.15 (2 số)</t>
        </is>
      </c>
      <c r="G14" s="11" t="inlineStr">
        <is>
          <t>USD/VND: Chỉ cho nhập 2 số sau dấu thập phân → 26,005.35
EUR/USD: Cho phép 4 số → 1.1500</t>
        </is>
      </c>
      <c r="H14" s="18" t="inlineStr">
        <is>
          <t>Edge</t>
        </is>
      </c>
      <c r="I14" s="16" t="inlineStr">
        <is>
          <t>High</t>
        </is>
      </c>
      <c r="J14" s="11" t="inlineStr">
        <is>
          <t>BRD: USD/VND, USD/JPY, USD/KRW → 2 decimal; còn lại → 4</t>
        </is>
      </c>
    </row>
    <row r="15">
      <c r="A15" s="14" t="n">
        <v>14</v>
      </c>
      <c r="B15" s="15" t="inlineStr">
        <is>
          <t>FX-SP-014</t>
        </is>
      </c>
      <c r="C15" s="15" t="inlineStr">
        <is>
          <t>Công thức tính toán</t>
        </is>
      </c>
      <c r="D15" s="15" t="inlineStr">
        <is>
          <t>Kiểm tra làm tròn Thành tiền với KL thập phân</t>
        </is>
      </c>
      <c r="E15" s="15" t="inlineStr">
        <is>
          <t>KL = 1,000,000.05 USD, Tỷ giá = 26,005.35</t>
        </is>
      </c>
      <c r="F15" s="15" t="inlineStr">
        <is>
          <t>1. Nhập KL có thập phân
2. Kiểm tra kết quả</t>
        </is>
      </c>
      <c r="G15" s="15" t="inlineStr">
        <is>
          <t>Thành tiền = 1,000,000.05 × 26,005.35 = 26,005,351,300.18 VND (kiểm tra chính xác thập phân)</t>
        </is>
      </c>
      <c r="H15" s="18" t="inlineStr">
        <is>
          <t>Edge</t>
        </is>
      </c>
      <c r="I15" s="16" t="inlineStr">
        <is>
          <t>High</t>
        </is>
      </c>
      <c r="J15" s="15" t="inlineStr">
        <is>
          <t>Rounding errors</t>
        </is>
      </c>
    </row>
    <row r="16">
      <c r="A16" s="10" t="n">
        <v>15</v>
      </c>
      <c r="B16" s="11" t="inlineStr">
        <is>
          <t>FX-SP-015</t>
        </is>
      </c>
      <c r="C16" s="11" t="inlineStr">
        <is>
          <t>Công thức tính toán</t>
        </is>
      </c>
      <c r="D16" s="11" t="inlineStr">
        <is>
          <t>Khối lượng giao dịch = 0</t>
        </is>
      </c>
      <c r="E16" s="11" t="inlineStr">
        <is>
          <t>KL = 0</t>
        </is>
      </c>
      <c r="F16" s="11" t="inlineStr">
        <is>
          <t>1. Nhập KL = 0
2. Lưu</t>
        </is>
      </c>
      <c r="G16" s="11" t="inlineStr">
        <is>
          <t>Hệ thống CHẶN, hiển thị lỗi 'Khối lượng phải lớn hơn 0'</t>
        </is>
      </c>
      <c r="H16" s="19" t="inlineStr">
        <is>
          <t>Negative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FX-SP-016</t>
        </is>
      </c>
      <c r="C17" s="15" t="inlineStr">
        <is>
          <t>Công thức tính toán</t>
        </is>
      </c>
      <c r="D17" s="15" t="inlineStr">
        <is>
          <t>Khối lượng giao dịch số âm</t>
        </is>
      </c>
      <c r="E17" s="15" t="inlineStr">
        <is>
          <t>KL = -1,000,000.00</t>
        </is>
      </c>
      <c r="F17" s="15" t="inlineStr">
        <is>
          <t>1. Nhập KL = -1,000,000.00
2. Lưu</t>
        </is>
      </c>
      <c r="G17" s="15" t="inlineStr">
        <is>
          <t>Hệ thống CHẶN, không cho nhập số âm</t>
        </is>
      </c>
      <c r="H17" s="19" t="inlineStr">
        <is>
          <t>Negative</t>
        </is>
      </c>
      <c r="I17" s="16" t="inlineStr">
        <is>
          <t>High</t>
        </is>
      </c>
      <c r="J17" s="15" t="inlineStr"/>
    </row>
    <row r="18">
      <c r="A18" s="10" t="n">
        <v>17</v>
      </c>
      <c r="B18" s="11" t="inlineStr">
        <is>
          <t>FX-SP-017</t>
        </is>
      </c>
      <c r="C18" s="11" t="inlineStr">
        <is>
          <t>Ngày tháng</t>
        </is>
      </c>
      <c r="D18" s="11" t="inlineStr">
        <is>
          <t>Ngày Giá trị = TODAY cho Spot</t>
        </is>
      </c>
      <c r="E18" s="11" t="inlineStr">
        <is>
          <t>Loại GD = SPOT</t>
        </is>
      </c>
      <c r="F18" s="11" t="inlineStr">
        <is>
          <t>1. Ngày GD = TODAY
2. Ngày Giá trị = TODAY
3. Lưu</t>
        </is>
      </c>
      <c r="G18" s="11" t="inlineStr">
        <is>
          <t>GD tạo thành công. Spot cho phép Ngày Giá trị = Ngày GD.</t>
        </is>
      </c>
      <c r="H18" s="12" t="inlineStr">
        <is>
          <t>Happy</t>
        </is>
      </c>
      <c r="I18" s="17" t="inlineStr">
        <is>
          <t>Medium</t>
        </is>
      </c>
      <c r="J18" s="11" t="inlineStr"/>
    </row>
    <row r="19">
      <c r="A19" s="14" t="n">
        <v>18</v>
      </c>
      <c r="B19" s="15" t="inlineStr">
        <is>
          <t>FX-SP-018</t>
        </is>
      </c>
      <c r="C19" s="15" t="inlineStr">
        <is>
          <t>Ngày tháng</t>
        </is>
      </c>
      <c r="D19" s="15" t="inlineStr">
        <is>
          <t>Ngày Giá trị &lt; Ngày giao dịch (Spot)</t>
        </is>
      </c>
      <c r="E19" s="15" t="inlineStr">
        <is>
          <t>Loại GD = SPOT, Ngày GD = 03/04/2026, Ngày Giá trị = 01/04/2026</t>
        </is>
      </c>
      <c r="F19" s="15" t="inlineStr">
        <is>
          <t>1. Nhập Ngày GD = 03/04/2026
2. Ngày Giá trị = 01/04/2026
3. Lưu</t>
        </is>
      </c>
      <c r="G19" s="15" t="inlineStr">
        <is>
          <t>Hệ thống CHẶN: Ngày Giá trị không được trước Ngày giao dịch (đối với Spot)</t>
        </is>
      </c>
      <c r="H19" s="19" t="inlineStr">
        <is>
          <t>Negative</t>
        </is>
      </c>
      <c r="I19" s="16" t="inlineStr">
        <is>
          <t>High</t>
        </is>
      </c>
      <c r="J19" s="15" t="inlineStr">
        <is>
          <t>Forward có thể cho phép khác</t>
        </is>
      </c>
    </row>
    <row r="20">
      <c r="A20" s="10" t="n">
        <v>19</v>
      </c>
      <c r="B20" s="11" t="inlineStr">
        <is>
          <t>FX-SP-019</t>
        </is>
      </c>
      <c r="C20" s="11" t="inlineStr">
        <is>
          <t>Ngày tháng</t>
        </is>
      </c>
      <c r="D20" s="11" t="inlineStr">
        <is>
          <t>Ngày Giá trị là ngày cuối tuần (Thứ 7/CN)</t>
        </is>
      </c>
      <c r="E20" s="11" t="inlineStr">
        <is>
          <t>Ngày Giá trị = 05/04/2026 (Chủ nhật)</t>
        </is>
      </c>
      <c r="F20" s="11" t="inlineStr">
        <is>
          <t>1. Chọn Ngày Giá trị = Chủ nhật
2. Lưu</t>
        </is>
      </c>
      <c r="G20" s="11" t="inlineStr">
        <is>
          <t>Hệ thống CẢNH BÁO hoặc CHẶN ngày không phải ngày làm việc</t>
        </is>
      </c>
      <c r="H20" s="18" t="inlineStr">
        <is>
          <t>Edge</t>
        </is>
      </c>
      <c r="I20" s="17" t="inlineStr">
        <is>
          <t>Medium</t>
        </is>
      </c>
      <c r="J20" s="11" t="inlineStr">
        <is>
          <t>Tùy nghiệp vụ: cảnh báo hay block</t>
        </is>
      </c>
    </row>
    <row r="21">
      <c r="A21" s="14" t="n">
        <v>20</v>
      </c>
      <c r="B21" s="15" t="inlineStr">
        <is>
          <t>FX-SP-020</t>
        </is>
      </c>
      <c r="C21" s="15" t="inlineStr">
        <is>
          <t>Ngày tháng</t>
        </is>
      </c>
      <c r="D21" s="15" t="inlineStr">
        <is>
          <t>Năm nhuận: Ngày Giá trị = 29/02/2028</t>
        </is>
      </c>
      <c r="E21" s="15" t="inlineStr">
        <is>
          <t>Năm 2028 là năm nhuận</t>
        </is>
      </c>
      <c r="F21" s="15" t="inlineStr">
        <is>
          <t>1. Nhập Ngày Giá trị = 29/02/2028
2. Lưu</t>
        </is>
      </c>
      <c r="G21" s="15" t="inlineStr">
        <is>
          <t>GD tạo thành công. Hệ thống chấp nhận 29/02 trong năm nhuận.</t>
        </is>
      </c>
      <c r="H21" s="18" t="inlineStr">
        <is>
          <t>Edge</t>
        </is>
      </c>
      <c r="I21" s="17" t="inlineStr">
        <is>
          <t>Medium</t>
        </is>
      </c>
      <c r="J21" s="15" t="inlineStr"/>
    </row>
    <row r="22">
      <c r="A22" s="10" t="n">
        <v>21</v>
      </c>
      <c r="B22" s="11" t="inlineStr">
        <is>
          <t>FX-SP-021</t>
        </is>
      </c>
      <c r="C22" s="11" t="inlineStr">
        <is>
          <t>Ngày tháng</t>
        </is>
      </c>
      <c r="D22" s="11" t="inlineStr">
        <is>
          <t>Năm không nhuận: Ngày 29/02/2027 không tồn tại</t>
        </is>
      </c>
      <c r="E22" s="11" t="inlineStr">
        <is>
          <t>Năm 2027 không phải năm nhuận</t>
        </is>
      </c>
      <c r="F22" s="11" t="inlineStr">
        <is>
          <t>1. Nhập Ngày Giá trị = 29/02/2027</t>
        </is>
      </c>
      <c r="G22" s="11" t="inlineStr">
        <is>
          <t>Hệ thống CHẶN: Ngày không hợp lệ</t>
        </is>
      </c>
      <c r="H22" s="19" t="inlineStr">
        <is>
          <t>Negative</t>
        </is>
      </c>
      <c r="I22" s="17" t="inlineStr">
        <is>
          <t>Medium</t>
        </is>
      </c>
      <c r="J22" s="11" t="inlineStr"/>
    </row>
    <row r="23">
      <c r="A23" s="14" t="n">
        <v>22</v>
      </c>
      <c r="B23" s="15" t="inlineStr">
        <is>
          <t>FX-SP-022</t>
        </is>
      </c>
      <c r="C23" s="15" t="inlineStr">
        <is>
          <t>Ngày tháng</t>
        </is>
      </c>
      <c r="D23" s="15" t="inlineStr">
        <is>
          <t>Định dạng ngày dd/mm/yyyy (không nhầm mm/dd/yyyy)</t>
        </is>
      </c>
      <c r="E23" s="15" t="inlineStr">
        <is>
          <t>Ngày = 13/03/2026 (13 tháng 3)</t>
        </is>
      </c>
      <c r="F23" s="15" t="inlineStr">
        <is>
          <t>1. Nhập 13/03/2026
2. Kiểm tra hiển thị</t>
        </is>
      </c>
      <c r="G23" s="15" t="inlineStr">
        <is>
          <t>Hiển thị đúng: 13/03/2026 = ngày 13 tháng 3. KHÔNG hiểu nhầm thành tháng 13.</t>
        </is>
      </c>
      <c r="H23" s="18" t="inlineStr">
        <is>
          <t>Edge</t>
        </is>
      </c>
      <c r="I23" s="16" t="inlineStr">
        <is>
          <t>High</t>
        </is>
      </c>
      <c r="J23" s="15" t="inlineStr">
        <is>
          <t>BRD quy ước dd/mm/yyyy</t>
        </is>
      </c>
    </row>
    <row r="24">
      <c r="A24" s="10" t="n">
        <v>23</v>
      </c>
      <c r="B24" s="11" t="inlineStr">
        <is>
          <t>FX-SP-023</t>
        </is>
      </c>
      <c r="C24" s="11" t="inlineStr">
        <is>
          <t>Ràng buộc dữ liệu</t>
        </is>
      </c>
      <c r="D24" s="11" t="inlineStr">
        <is>
          <t>Tạo GD thiếu trường bắt buộc (Đối tác)</t>
        </is>
      </c>
      <c r="E24" s="11" t="inlineStr">
        <is>
          <t>Không chọn Đối tác</t>
        </is>
      </c>
      <c r="F24" s="11" t="inlineStr">
        <is>
          <t>1. Bỏ trống trường Đối tác
2. Nhấn Lưu</t>
        </is>
      </c>
      <c r="G24" s="11" t="inlineStr">
        <is>
          <t>Hệ thống CHẶN, highlight trường Đối tác, hiển thị 'Vui lòng chọn Đối tác'</t>
        </is>
      </c>
      <c r="H24" s="19" t="inlineStr">
        <is>
          <t>Negative</t>
        </is>
      </c>
      <c r="I24" s="16" t="inlineStr">
        <is>
          <t>High</t>
        </is>
      </c>
      <c r="J24" s="11" t="inlineStr"/>
    </row>
    <row r="25">
      <c r="A25" s="14" t="n">
        <v>24</v>
      </c>
      <c r="B25" s="15" t="inlineStr">
        <is>
          <t>FX-SP-024</t>
        </is>
      </c>
      <c r="C25" s="15" t="inlineStr">
        <is>
          <t>Ràng buộc dữ liệu</t>
        </is>
      </c>
      <c r="D25" s="15" t="inlineStr">
        <is>
          <t>Tạo GD thiếu trường Tỷ giá</t>
        </is>
      </c>
      <c r="E25" s="15" t="inlineStr">
        <is>
          <t>Không nhập Tỷ giá</t>
        </is>
      </c>
      <c r="F25" s="15" t="inlineStr">
        <is>
          <t>1. Điền đầy đủ trừ Tỷ giá
2. Nhấn Lưu</t>
        </is>
      </c>
      <c r="G25" s="15" t="inlineStr">
        <is>
          <t>Hệ thống CHẶN, hiển thị lỗi bắt buộc nhập Tỷ giá</t>
        </is>
      </c>
      <c r="H25" s="19" t="inlineStr">
        <is>
          <t>Negative</t>
        </is>
      </c>
      <c r="I25" s="16" t="inlineStr">
        <is>
          <t>High</t>
        </is>
      </c>
      <c r="J25" s="15" t="inlineStr"/>
    </row>
    <row r="26">
      <c r="A26" s="10" t="n">
        <v>25</v>
      </c>
      <c r="B26" s="11" t="inlineStr">
        <is>
          <t>FX-SP-025</t>
        </is>
      </c>
      <c r="C26" s="11" t="inlineStr">
        <is>
          <t>Ràng buộc dữ liệu</t>
        </is>
      </c>
      <c r="D26" s="11" t="inlineStr">
        <is>
          <t>Số Ticket là không bắt buộc</t>
        </is>
      </c>
      <c r="E26" s="11" t="inlineStr">
        <is>
          <t>Bỏ trống Số Ticket</t>
        </is>
      </c>
      <c r="F26" s="11" t="inlineStr">
        <is>
          <t>1. Tạo GD không nhập Số Ticket
2. Lưu</t>
        </is>
      </c>
      <c r="G26" s="11" t="inlineStr">
        <is>
          <t>GD tạo thành công. Số Ticket = trống.</t>
        </is>
      </c>
      <c r="H26" s="12" t="inlineStr">
        <is>
          <t>Happy</t>
        </is>
      </c>
      <c r="I26" s="20" t="inlineStr">
        <is>
          <t>Low</t>
        </is>
      </c>
      <c r="J26" s="11" t="inlineStr"/>
    </row>
    <row r="27">
      <c r="A27" s="14" t="n">
        <v>26</v>
      </c>
      <c r="B27" s="15" t="inlineStr">
        <is>
          <t>FX-SP-026</t>
        </is>
      </c>
      <c r="C27" s="15" t="inlineStr">
        <is>
          <t>Ràng buộc dữ liệu</t>
        </is>
      </c>
      <c r="D27" s="15" t="inlineStr">
        <is>
          <t>Tỷ giá âm</t>
        </is>
      </c>
      <c r="E27" s="15" t="inlineStr">
        <is>
          <t>Nhập Tỷ giá = -26,005.35</t>
        </is>
      </c>
      <c r="F27" s="15" t="inlineStr">
        <is>
          <t>1. Nhập Tỷ giá = -26,005.35
2. Lưu</t>
        </is>
      </c>
      <c r="G27" s="15" t="inlineStr">
        <is>
          <t>Hệ thống CHẶN, không cho nhập tỷ giá âm</t>
        </is>
      </c>
      <c r="H27" s="19" t="inlineStr">
        <is>
          <t>Negative</t>
        </is>
      </c>
      <c r="I27" s="16" t="inlineStr">
        <is>
          <t>High</t>
        </is>
      </c>
      <c r="J27" s="15" t="inlineStr"/>
    </row>
    <row r="28">
      <c r="A28" s="10" t="n">
        <v>27</v>
      </c>
      <c r="B28" s="11" t="inlineStr">
        <is>
          <t>FX-SP-027</t>
        </is>
      </c>
      <c r="C28" s="11" t="inlineStr">
        <is>
          <t>Định dạng số</t>
        </is>
      </c>
      <c r="D28" s="11" t="inlineStr">
        <is>
          <t>Format số tiền FX dùng quốc tế (dấu , ngăn nghìn, . thập phân)</t>
        </is>
      </c>
      <c r="E28" s="11" t="inlineStr">
        <is>
          <t>KL = 10,000,000.05</t>
        </is>
      </c>
      <c r="F28" s="11" t="inlineStr">
        <is>
          <t>1. Nhập KL
2. Kiểm tra hiển thị</t>
        </is>
      </c>
      <c r="G28" s="11" t="inlineStr">
        <is>
          <t>Hiển thị: 10,000,000.05 (dấu , ngăn nghìn, dấu . thập phân)
KHÔNG hiển thị kiểu VN: 10.000.000,05</t>
        </is>
      </c>
      <c r="H28" s="18" t="inlineStr">
        <is>
          <t>Edge</t>
        </is>
      </c>
      <c r="I28" s="16" t="inlineStr">
        <is>
          <t>High</t>
        </is>
      </c>
      <c r="J28" s="11" t="inlineStr">
        <is>
          <t>BRD v3: FX dùng format quốc tế</t>
        </is>
      </c>
    </row>
    <row r="29">
      <c r="A29" s="14" t="n">
        <v>28</v>
      </c>
      <c r="B29" s="15" t="inlineStr">
        <is>
          <t>FX-SP-028</t>
        </is>
      </c>
      <c r="C29" s="15" t="inlineStr">
        <is>
          <t>Upload file</t>
        </is>
      </c>
      <c r="D29" s="15" t="inlineStr">
        <is>
          <t>Upload file đính kèm ticket</t>
        </is>
      </c>
      <c r="E29" s="15" t="inlineStr">
        <is>
          <t>Có file ticket_925508281.pdf</t>
        </is>
      </c>
      <c r="F29" s="15" t="inlineStr">
        <is>
          <t>1. Tạo GD
2. Upload file ticket
3. Lưu</t>
        </is>
      </c>
      <c r="G29" s="15" t="inlineStr">
        <is>
          <t>File đính kèm thành công, có thể tải lại xem</t>
        </is>
      </c>
      <c r="H29" s="12" t="inlineStr">
        <is>
          <t>Happy</t>
        </is>
      </c>
      <c r="I29" s="20" t="inlineStr">
        <is>
          <t>Low</t>
        </is>
      </c>
      <c r="J29" s="15" t="inlineStr">
        <is>
          <t>1 file = 1 GD</t>
        </is>
      </c>
    </row>
    <row r="30">
      <c r="A30" s="10" t="n">
        <v>29</v>
      </c>
      <c r="B30" s="11" t="inlineStr">
        <is>
          <t>FX-SP-029</t>
        </is>
      </c>
      <c r="C30" s="11" t="inlineStr">
        <is>
          <t>Danh sách GD</t>
        </is>
      </c>
      <c r="D30" s="11" t="inlineStr">
        <is>
          <t>Lọc giao dịch theo trạng thái</t>
        </is>
      </c>
      <c r="E30" s="11" t="inlineStr">
        <is>
          <t>Có nhiều GD FX ở các trạng thái khác nhau</t>
        </is>
      </c>
      <c r="F30" s="11" t="inlineStr">
        <is>
          <t>1. Mở danh sách GD FX
2. Lọc theo trạng thái = 'Chờ hạch toán'</t>
        </is>
      </c>
      <c r="G30" s="11" t="inlineStr">
        <is>
          <t>Chỉ hiển thị GD có trạng thái 'Chờ hạch toán'</t>
        </is>
      </c>
      <c r="H30" s="12" t="inlineStr">
        <is>
          <t>Happy</t>
        </is>
      </c>
      <c r="I30" s="17" t="inlineStr">
        <is>
          <t>Medium</t>
        </is>
      </c>
      <c r="J30" s="11" t="inlineStr"/>
    </row>
    <row r="31">
      <c r="A31" s="14" t="n">
        <v>30</v>
      </c>
      <c r="B31" s="15" t="inlineStr">
        <is>
          <t>FX-SP-030</t>
        </is>
      </c>
      <c r="C31" s="15" t="inlineStr">
        <is>
          <t>Danh sách GD</t>
        </is>
      </c>
      <c r="D31" s="15" t="inlineStr">
        <is>
          <t>GD hủy mặc định ẩn, filter hiện</t>
        </is>
      </c>
      <c r="E31" s="15" t="inlineStr">
        <is>
          <t>Có GD FX đã hủy</t>
        </is>
      </c>
      <c r="F31" s="15" t="inlineStr">
        <is>
          <t>1. Mở danh sách → GD hủy không hiển thị
2. Bật filter 'Hiển thị GD đã hủy'
3. GD hủy xuất hiện</t>
        </is>
      </c>
      <c r="G31" s="15" t="inlineStr">
        <is>
          <t>Mặc định ẩn GD hủy. Khi bật filter → hiển thị.</t>
        </is>
      </c>
      <c r="H31" s="12" t="inlineStr">
        <is>
          <t>Happy</t>
        </is>
      </c>
      <c r="I31" s="17" t="inlineStr">
        <is>
          <t>Medium</t>
        </is>
      </c>
      <c r="J31" s="15" t="inlineStr"/>
    </row>
    <row r="32">
      <c r="A32" s="10" t="n">
        <v>31</v>
      </c>
      <c r="B32" s="11" t="inlineStr">
        <is>
          <t>FX-SP-031</t>
        </is>
      </c>
      <c r="C32" s="11" t="inlineStr">
        <is>
          <t>Danh sách GD</t>
        </is>
      </c>
      <c r="D32" s="11" t="inlineStr">
        <is>
          <t>Tìm kiếm theo Số Ticket</t>
        </is>
      </c>
      <c r="E32" s="11" t="inlineStr">
        <is>
          <t>GD có Số Ticket = 925508281</t>
        </is>
      </c>
      <c r="F32" s="11" t="inlineStr">
        <is>
          <t>1. Nhập 925508281 vào ô tìm kiếm
2. Nhấn tìm</t>
        </is>
      </c>
      <c r="G32" s="11" t="inlineStr">
        <is>
          <t>Hiển thị GD có Số Ticket = 925508281</t>
        </is>
      </c>
      <c r="H32" s="12" t="inlineStr">
        <is>
          <t>Happy</t>
        </is>
      </c>
      <c r="I32" s="17" t="inlineStr">
        <is>
          <t>Medium</t>
        </is>
      </c>
      <c r="J32" s="11" t="inlineStr"/>
    </row>
    <row r="33">
      <c r="A33" s="14" t="n">
        <v>32</v>
      </c>
      <c r="B33" s="15" t="inlineStr">
        <is>
          <t>FX-SP-032</t>
        </is>
      </c>
      <c r="C33" s="15" t="inlineStr">
        <is>
          <t>Luồng duyệt</t>
        </is>
      </c>
      <c r="D33" s="15" t="inlineStr">
        <is>
          <t>TP K.NV trả lại CV sửa → GD quay về Open</t>
        </is>
      </c>
      <c r="E33" s="15" t="inlineStr">
        <is>
          <t>GD ở trạng thái Open, CV đã submit</t>
        </is>
      </c>
      <c r="F33" s="15" t="inlineStr">
        <is>
          <t>1. CV submit GD
2. TP K.NV chọn 'Không đồng ý'</t>
        </is>
      </c>
      <c r="G33" s="15" t="inlineStr">
        <is>
          <t>GD quay về trạng thái Open. CV có thể chỉnh sửa.</t>
        </is>
      </c>
      <c r="H33" s="12" t="inlineStr">
        <is>
          <t>Happy</t>
        </is>
      </c>
      <c r="I33" s="16" t="inlineStr">
        <is>
          <t>High</t>
        </is>
      </c>
      <c r="J33" s="15" t="inlineStr"/>
    </row>
    <row r="34">
      <c r="A34" s="10" t="n">
        <v>33</v>
      </c>
      <c r="B34" s="11" t="inlineStr">
        <is>
          <t>FX-SP-033</t>
        </is>
      </c>
      <c r="C34" s="11" t="inlineStr">
        <is>
          <t>Luồng duyệt</t>
        </is>
      </c>
      <c r="D34" s="11" t="inlineStr">
        <is>
          <t>GĐ từ chối → popup xác nhận → trạng thái Từ chối</t>
        </is>
      </c>
      <c r="E34" s="11" t="inlineStr">
        <is>
          <t>GD ở trạng thái Chờ K.NV duyệt</t>
        </is>
      </c>
      <c r="F34" s="11" t="inlineStr">
        <is>
          <t>1. GĐ nhấn 'Không đồng ý'
2. Popup hiện: nhập lý do + nút Xác nhận/Hủy
3. Nhập lý do, nhấn Xác nhận</t>
        </is>
      </c>
      <c r="G34" s="11" t="inlineStr">
        <is>
          <t>Popup xác nhận hiển thị. Sau xác nhận → GD = 'Từ chối'. Thông báo cho CV.</t>
        </is>
      </c>
      <c r="H34" s="12" t="inlineStr">
        <is>
          <t>Happy</t>
        </is>
      </c>
      <c r="I34" s="13" t="inlineStr">
        <is>
          <t>Critical</t>
        </is>
      </c>
      <c r="J34" s="11" t="inlineStr">
        <is>
          <t>Popup chống click nhầm</t>
        </is>
      </c>
    </row>
    <row r="35">
      <c r="A35" s="14" t="n">
        <v>34</v>
      </c>
      <c r="B35" s="15" t="inlineStr">
        <is>
          <t>FX-SP-034</t>
        </is>
      </c>
      <c r="C35" s="15" t="inlineStr">
        <is>
          <t>Luồng duyệt</t>
        </is>
      </c>
      <c r="D35" s="15" t="inlineStr">
        <is>
          <t>GĐ từ chối → nhấn Hủy trên popup → GD giữ nguyên</t>
        </is>
      </c>
      <c r="E35" s="15" t="inlineStr">
        <is>
          <t>GD ở trạng thái Chờ K.NV duyệt</t>
        </is>
      </c>
      <c r="F35" s="15" t="inlineStr">
        <is>
          <t>1. GĐ nhấn 'Không đồng ý'
2. Popup hiện
3. Nhấn 'Hủy' trên popup</t>
        </is>
      </c>
      <c r="G35" s="15" t="inlineStr">
        <is>
          <t>Popup đóng. GD giữ nguyên trạng thái 'Chờ K.NV duyệt'.</t>
        </is>
      </c>
      <c r="H35" s="18" t="inlineStr">
        <is>
          <t>Edge</t>
        </is>
      </c>
      <c r="I35" s="16" t="inlineStr">
        <is>
          <t>High</t>
        </is>
      </c>
      <c r="J35" s="15" t="inlineStr"/>
    </row>
    <row r="36">
      <c r="A36" s="10" t="n">
        <v>35</v>
      </c>
      <c r="B36" s="11" t="inlineStr">
        <is>
          <t>FX-SP-035</t>
        </is>
      </c>
      <c r="C36" s="11" t="inlineStr">
        <is>
          <t>Luồng duyệt</t>
        </is>
      </c>
      <c r="D36" s="11" t="inlineStr">
        <is>
          <t>CV KTTC từ chối hạch toán cấp 1 → Hủy giao dịch</t>
        </is>
      </c>
      <c r="E36" s="11" t="inlineStr">
        <is>
          <t>GD ở trạng thái Chờ hạch toán</t>
        </is>
      </c>
      <c r="F36" s="11" t="inlineStr">
        <is>
          <t>1. CV KTTC nhấn Từ chối
2. Popup xác nhận → nhập lý do → Xác nhận</t>
        </is>
      </c>
      <c r="G36" s="11" t="inlineStr">
        <is>
          <t>GD chuyển = 'Hủy giao dịch'. Thông báo cho CV K.NV.</t>
        </is>
      </c>
      <c r="H36" s="12" t="inlineStr">
        <is>
          <t>Happy</t>
        </is>
      </c>
      <c r="I36" s="13" t="inlineStr">
        <is>
          <t>Critical</t>
        </is>
      </c>
      <c r="J36" s="11" t="inlineStr">
        <is>
          <t>KTTC 2 cấp - cấp 1 từ chối</t>
        </is>
      </c>
    </row>
    <row r="37">
      <c r="A37" s="14" t="n">
        <v>36</v>
      </c>
      <c r="B37" s="15" t="inlineStr">
        <is>
          <t>FX-SP-036</t>
        </is>
      </c>
      <c r="C37" s="15" t="inlineStr">
        <is>
          <t>Luồng duyệt</t>
        </is>
      </c>
      <c r="D37" s="15" t="inlineStr">
        <is>
          <t>LĐ KTTC từ chối hạch toán cấp 2 → Hủy giao dịch</t>
        </is>
      </c>
      <c r="E37" s="15" t="inlineStr">
        <is>
          <t>GD ở trạng thái Chờ LĐ KTTC duyệt (CV KTTC đã duyệt cấp 1)</t>
        </is>
      </c>
      <c r="F37" s="15" t="inlineStr">
        <is>
          <t>1. LĐ KTTC nhấn Từ chối
2. Popup xác nhận → nhập lý do → Xác nhận</t>
        </is>
      </c>
      <c r="G37" s="15" t="inlineStr">
        <is>
          <t>GD chuyển = 'Hủy giao dịch'. Thông báo cho CV K.NV.</t>
        </is>
      </c>
      <c r="H37" s="12" t="inlineStr">
        <is>
          <t>Happy</t>
        </is>
      </c>
      <c r="I37" s="13" t="inlineStr">
        <is>
          <t>Critical</t>
        </is>
      </c>
      <c r="J37" s="15" t="inlineStr">
        <is>
          <t>KTTC 2 cấp - cấp 2 từ chối</t>
        </is>
      </c>
    </row>
    <row r="38">
      <c r="A38" s="10" t="n">
        <v>37</v>
      </c>
      <c r="B38" s="11" t="inlineStr">
        <is>
          <t>FX-SP-037</t>
        </is>
      </c>
      <c r="C38" s="11" t="inlineStr">
        <is>
          <t>Workflow</t>
        </is>
      </c>
      <c r="D38" s="11" t="inlineStr">
        <is>
          <t>CV chỉnh sửa GD sau khi TP đã duyệt → BLOCK</t>
        </is>
      </c>
      <c r="E38" s="11" t="inlineStr">
        <is>
          <t>GD ở trạng thái 'Chờ K.NV duyệt' (TP đã duyệt)</t>
        </is>
      </c>
      <c r="F38" s="11" t="inlineStr">
        <is>
          <t>1. CV mở GD đang Chờ K.NV duyệt
2. Cố chỉnh sửa trường KL hoặc Tỷ giá</t>
        </is>
      </c>
      <c r="G38" s="11" t="inlineStr">
        <is>
          <t>Hệ thống CHẶN: Không cho phép chỉnh sửa khi GD đã qua bước TP duyệt.</t>
        </is>
      </c>
      <c r="H38" s="19" t="inlineStr">
        <is>
          <t>Negative</t>
        </is>
      </c>
      <c r="I38" s="13" t="inlineStr">
        <is>
          <t>Critical</t>
        </is>
      </c>
      <c r="J38" s="11" t="inlineStr">
        <is>
          <t>BRD: Sau TP duyệt → CV không thể sửa</t>
        </is>
      </c>
    </row>
    <row r="39">
      <c r="A39" s="14" t="n">
        <v>38</v>
      </c>
      <c r="B39" s="15" t="inlineStr">
        <is>
          <t>FX-SP-038</t>
        </is>
      </c>
      <c r="C39" s="15" t="inlineStr">
        <is>
          <t>Ghi chú</t>
        </is>
      </c>
      <c r="D39" s="15" t="inlineStr">
        <is>
          <t>Nhập ghi chú dạng text tự do</t>
        </is>
      </c>
      <c r="E39" s="15" t="inlineStr">
        <is>
          <t>GD FX mới</t>
        </is>
      </c>
      <c r="F39" s="15" t="inlineStr">
        <is>
          <t>1. Nhập Ghi chú = 'Giao dịch theo chỉ đạo TGĐ ngày 03/04'
2. Lưu</t>
        </is>
      </c>
      <c r="G39" s="15" t="inlineStr">
        <is>
          <t>Ghi chú lưu thành công, hiển thị đúng nội dung</t>
        </is>
      </c>
      <c r="H39" s="12" t="inlineStr">
        <is>
          <t>Happy</t>
        </is>
      </c>
      <c r="I39" s="20" t="inlineStr">
        <is>
          <t>Low</t>
        </is>
      </c>
      <c r="J39" s="15" t="inlineStr"/>
    </row>
    <row r="40">
      <c r="A40" s="14" t="n">
        <v>39</v>
      </c>
      <c r="B40" s="15" t="inlineStr">
        <is>
          <t>FX-SP-039</t>
        </is>
      </c>
      <c r="C40" s="15" t="inlineStr">
        <is>
          <t>Export</t>
        </is>
      </c>
      <c r="D40" s="15" t="inlineStr">
        <is>
          <t>Export PDF giao dịch FX Spot/Forward — nội dung đầy đủ</t>
        </is>
      </c>
      <c r="E40" s="15" t="inlineStr">
        <is>
          <t>GD FX Spot/Forward Hoàn thành</t>
        </is>
      </c>
      <c r="F40" s="15" t="inlineStr">
        <is>
          <t>1. Mở chi tiết GD
2. Nhấn Export PDF</t>
        </is>
      </c>
      <c r="G40" s="15" t="inlineStr">
        <is>
          <t>File PDF tải về, nội dung đầy đủ thông tin GD + định dạng quốc tế</t>
        </is>
      </c>
      <c r="H40" s="12" t="inlineStr">
        <is>
          <t>Happy</t>
        </is>
      </c>
      <c r="I40" s="20" t="inlineStr">
        <is>
          <t>High</t>
        </is>
      </c>
      <c r="J40" s="15" t="inlineStr">
        <is>
          <t>BRD §9.3 — hỗ trợ xuất PDF</t>
        </is>
      </c>
    </row>
    <row r="41">
      <c r="A41" s="14" t="n">
        <v>40</v>
      </c>
      <c r="B41" s="15" t="inlineStr">
        <is>
          <t>FX-SP-040</t>
        </is>
      </c>
      <c r="C41" s="15" t="inlineStr">
        <is>
          <t>Clone</t>
        </is>
      </c>
      <c r="D41" s="15" t="inlineStr">
        <is>
          <t>Clone GD FX bị Từ chối → tạo GD mới Open</t>
        </is>
      </c>
      <c r="E41" s="15" t="inlineStr">
        <is>
          <t>GD FX Spot trạng thái Từ chối</t>
        </is>
      </c>
      <c r="F41" s="15" t="inlineStr">
        <is>
          <t>1. CV mở GD bị Từ chối
2. Nhấn Clone
3. Hệ thống tạo GD mới</t>
        </is>
      </c>
      <c r="G41" s="15" t="inlineStr">
        <is>
          <t>GD mới trạng thái Open, dữ liệu copy đầy đủ, ID mới</t>
        </is>
      </c>
      <c r="H41" s="12" t="inlineStr">
        <is>
          <t>Happy</t>
        </is>
      </c>
      <c r="I41" s="20" t="inlineStr">
        <is>
          <t>Critical</t>
        </is>
      </c>
      <c r="J41" s="15" t="inlineStr">
        <is>
          <t>BRD §4.3</t>
        </is>
      </c>
    </row>
    <row r="42">
      <c r="A42" s="14" t="n">
        <v>41</v>
      </c>
      <c r="B42" s="15" t="inlineStr">
        <is>
          <t>FX-SP-041</t>
        </is>
      </c>
      <c r="C42" s="15" t="inlineStr">
        <is>
          <t>Clone</t>
        </is>
      </c>
      <c r="D42" s="15" t="inlineStr">
        <is>
          <t>Clone GD FX bị Hủy giao dịch (KTTC từ chối) → tạo GD mới</t>
        </is>
      </c>
      <c r="E42" s="15" t="inlineStr">
        <is>
          <t>GD FX Spot trạng thái Hủy giao dịch (KTTC reject)</t>
        </is>
      </c>
      <c r="F42" s="15" t="inlineStr">
        <is>
          <t>1. CV mở GD bị Hủy giao dịch
2. Nhấn Clone</t>
        </is>
      </c>
      <c r="G42" s="15" t="inlineStr">
        <is>
          <t>GD mới trạng thái Open, dữ liệu copy từ GD cũ</t>
        </is>
      </c>
      <c r="H42" s="12" t="inlineStr">
        <is>
          <t>Happy</t>
        </is>
      </c>
      <c r="I42" s="20" t="inlineStr">
        <is>
          <t>Critical</t>
        </is>
      </c>
      <c r="J42" s="15" t="inlineStr">
        <is>
          <t>BRD §4.3</t>
        </is>
      </c>
    </row>
    <row r="43">
      <c r="A43" s="14" t="n">
        <v>42</v>
      </c>
      <c r="B43" s="15" t="inlineStr">
        <is>
          <t>FX-SP-042</t>
        </is>
      </c>
      <c r="C43" s="15" t="inlineStr">
        <is>
          <t>Cancel</t>
        </is>
      </c>
      <c r="D43" s="15" t="inlineStr">
        <is>
          <t>Cancel GD FX Hoàn thành — luồng 2 cấp: CV → TP → GĐ → Đã hủy</t>
        </is>
      </c>
      <c r="E43" s="15" t="inlineStr">
        <is>
          <t>GD FX Spot Hoàn thành</t>
        </is>
      </c>
      <c r="F43" s="15" t="inlineStr">
        <is>
          <t>1. CV nhấn Hủy, nhập lý do
2. TP duyệt hủy cấp 1
3. GĐ duyệt hủy cấp 2</t>
        </is>
      </c>
      <c r="G43" s="15" t="inlineStr">
        <is>
          <t>GD chuyển Đã hủy. Email gửi cho P.KTTC.</t>
        </is>
      </c>
      <c r="H43" s="12" t="inlineStr">
        <is>
          <t>Happy</t>
        </is>
      </c>
      <c r="I43" s="20" t="inlineStr">
        <is>
          <t>Critical</t>
        </is>
      </c>
      <c r="J43" s="15" t="inlineStr">
        <is>
          <t>BRD v3 §4.2 — cancel 2 cấp MỚI</t>
        </is>
      </c>
    </row>
    <row r="44">
      <c r="A44" s="14" t="n">
        <v>43</v>
      </c>
      <c r="B44" s="15" t="inlineStr">
        <is>
          <t>FX-SP-043</t>
        </is>
      </c>
      <c r="C44" s="15" t="inlineStr">
        <is>
          <t>Cancel</t>
        </is>
      </c>
      <c r="D44" s="15" t="inlineStr">
        <is>
          <t>Cancel GD FX Chờ TTQT — luồng 2 cấp</t>
        </is>
      </c>
      <c r="E44" s="15" t="inlineStr">
        <is>
          <t>GD FX Spot Chờ TTQT</t>
        </is>
      </c>
      <c r="F44" s="15" t="inlineStr">
        <is>
          <t>1. CV nhấn Hủy, nhập lý do
2. TP duyệt hủy cấp 1
3. GĐ duyệt hủy cấp 2</t>
        </is>
      </c>
      <c r="G44" s="15" t="inlineStr">
        <is>
          <t>GD chuyển Đã hủy. Email gửi P.KTTC + BP.TTQT.</t>
        </is>
      </c>
      <c r="H44" s="12" t="inlineStr">
        <is>
          <t>Happy</t>
        </is>
      </c>
      <c r="I44" s="20" t="inlineStr">
        <is>
          <t>Critical</t>
        </is>
      </c>
      <c r="J44" s="15" t="inlineStr">
        <is>
          <t>BRD v3 §4.2</t>
        </is>
      </c>
    </row>
    <row r="45">
      <c r="A45" s="14" t="n">
        <v>44</v>
      </c>
      <c r="B45" s="15" t="inlineStr">
        <is>
          <t>FX-SP-044</t>
        </is>
      </c>
      <c r="C45" s="15" t="inlineStr">
        <is>
          <t>Cancel</t>
        </is>
      </c>
      <c r="D45" s="15" t="inlineStr">
        <is>
          <t>TP từ chối hủy cấp 1 → GD giữ nguyên trạng thái</t>
        </is>
      </c>
      <c r="E45" s="15" t="inlineStr">
        <is>
          <t>GD FX đang chờ TP duyệt hủy</t>
        </is>
      </c>
      <c r="F45" s="15" t="inlineStr">
        <is>
          <t>1. TP nhấn Từ chối hủy</t>
        </is>
      </c>
      <c r="G45" s="15" t="inlineStr">
        <is>
          <t>GD quay về trạng thái trước khi yêu cầu hủy</t>
        </is>
      </c>
      <c r="H45" s="12" t="inlineStr">
        <is>
          <t>Happy</t>
        </is>
      </c>
      <c r="I45" s="20" t="inlineStr">
        <is>
          <t>High</t>
        </is>
      </c>
      <c r="J45" s="15" t="inlineStr">
        <is>
          <t>BRD v3 §4.2</t>
        </is>
      </c>
    </row>
    <row r="46">
      <c r="A46" s="14" t="n">
        <v>45</v>
      </c>
      <c r="B46" s="15" t="inlineStr">
        <is>
          <t>FX-SP-045</t>
        </is>
      </c>
      <c r="C46" s="15" t="inlineStr">
        <is>
          <t>Cancel</t>
        </is>
      </c>
      <c r="D46" s="15" t="inlineStr">
        <is>
          <t>GĐ từ chối hủy cấp 2 → GD giữ nguyên trạng thái</t>
        </is>
      </c>
      <c r="E46" s="15" t="inlineStr">
        <is>
          <t>GD FX đang chờ GĐ duyệt hủy</t>
        </is>
      </c>
      <c r="F46" s="15" t="inlineStr">
        <is>
          <t>1. GĐ nhấn Từ chối hủy</t>
        </is>
      </c>
      <c r="G46" s="15" t="inlineStr">
        <is>
          <t>GD quay về trạng thái trước khi yêu cầu hủy</t>
        </is>
      </c>
      <c r="H46" s="12" t="inlineStr">
        <is>
          <t>Happy</t>
        </is>
      </c>
      <c r="I46" s="20" t="inlineStr">
        <is>
          <t>High</t>
        </is>
      </c>
      <c r="J46" s="15" t="inlineStr">
        <is>
          <t>BRD v3 §4.2</t>
        </is>
      </c>
    </row>
    <row r="47">
      <c r="A47" s="14" t="n">
        <v>46</v>
      </c>
      <c r="B47" s="15" t="inlineStr">
        <is>
          <t>FX-SP-046</t>
        </is>
      </c>
      <c r="C47" s="15" t="inlineStr">
        <is>
          <t>Popup</t>
        </is>
      </c>
      <c r="D47" s="15" t="inlineStr">
        <is>
          <t>Popup xác nhận khi GĐ từ chối GD FX — BRD v3</t>
        </is>
      </c>
      <c r="E47" s="15" t="inlineStr">
        <is>
          <t>GD FX đang Chờ K.NV duyệt</t>
        </is>
      </c>
      <c r="F47" s="15" t="inlineStr">
        <is>
          <t>1. GĐ nhấn Từ chối
2. Popup hiện: nhập lý do + Xác nhận/Hủy</t>
        </is>
      </c>
      <c r="G47" s="15" t="inlineStr">
        <is>
          <t>Popup hiện, bắt buộc nhập lý do. Nhấn Hủy → GD không đổi.</t>
        </is>
      </c>
      <c r="H47" s="12" t="inlineStr">
        <is>
          <t>Happy</t>
        </is>
      </c>
      <c r="I47" s="20" t="inlineStr">
        <is>
          <t>Critical</t>
        </is>
      </c>
      <c r="J47" s="15" t="inlineStr">
        <is>
          <t>BRD v3 §4.4 — popup tất cả bước reject</t>
        </is>
      </c>
    </row>
    <row r="48">
      <c r="A48" s="14" t="n">
        <v>47</v>
      </c>
      <c r="B48" s="15" t="inlineStr">
        <is>
          <t>FX-SP-047</t>
        </is>
      </c>
      <c r="C48" s="15" t="inlineStr">
        <is>
          <t>Notification</t>
        </is>
      </c>
      <c r="D48" s="15" t="inlineStr">
        <is>
          <t>Cancel GD FX có TTQT → Email thông báo cho P.KTTC + BP.TTQT</t>
        </is>
      </c>
      <c r="E48" s="15" t="inlineStr">
        <is>
          <t>GD FX Hoàn thành, TTQT = Có</t>
        </is>
      </c>
      <c r="F48" s="15" t="inlineStr">
        <is>
          <t>1. CV yêu cầu hủy
2. TP + GĐ duyệt hủy
3. Hệ thống gửi email</t>
        </is>
      </c>
      <c r="G48" s="15" t="inlineStr">
        <is>
          <t>Email gửi cho CẢ P.KTTC và BP.TTQT</t>
        </is>
      </c>
      <c r="H48" s="12" t="inlineStr">
        <is>
          <t>Happy</t>
        </is>
      </c>
      <c r="I48" s="20" t="inlineStr">
        <is>
          <t>High</t>
        </is>
      </c>
      <c r="J48" s="15" t="inlineStr">
        <is>
          <t>BRD v3 §4.2 + §7</t>
        </is>
      </c>
    </row>
    <row r="49">
      <c r="A49" s="14" t="n">
        <v>48</v>
      </c>
      <c r="B49" s="15" t="inlineStr">
        <is>
          <t>FX-SP-048</t>
        </is>
      </c>
      <c r="C49" s="15" t="inlineStr">
        <is>
          <t>Notification</t>
        </is>
      </c>
      <c r="D49" s="15" t="inlineStr">
        <is>
          <t>Cancel GD FX không TTQT → Email CHỈ cho P.KTTC</t>
        </is>
      </c>
      <c r="E49" s="15" t="inlineStr">
        <is>
          <t>GD FX Hoàn thành, TTQT = Không</t>
        </is>
      </c>
      <c r="F49" s="15" t="inlineStr">
        <is>
          <t>1. CV yêu cầu hủy
2. TP + GĐ duyệt hủy</t>
        </is>
      </c>
      <c r="G49" s="15" t="inlineStr">
        <is>
          <t>Email CHỈ gửi P.KTTC. BP.TTQT KHÔNG nhận email.</t>
        </is>
      </c>
      <c r="H49" s="12" t="inlineStr">
        <is>
          <t>Happy</t>
        </is>
      </c>
      <c r="I49" s="20" t="inlineStr">
        <is>
          <t>High</t>
        </is>
      </c>
      <c r="J49" s="15" t="inlineStr">
        <is>
          <t>BRD v3 §7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FX-SW-001</t>
        </is>
      </c>
      <c r="C2" s="11" t="inlineStr">
        <is>
          <t>Tạo GD Swap</t>
        </is>
      </c>
      <c r="D2" s="11" t="inlineStr">
        <is>
          <t>Tạo Swap Sell-Buy USD/VND thành công</t>
        </is>
      </c>
      <c r="E2" s="11" t="inlineStr">
        <is>
          <t>CV K.NV; Đối tác BIDV</t>
        </is>
      </c>
      <c r="F2" s="11" t="inlineStr">
        <is>
          <t>1. Chiều = Sell - Buy
2. KL = 10,000,000.00 USD
3. Cặp USD/VND
4. Tỷ giá chân 1 = 26,005.35
5. Tỷ giá chân 2 = 26,105.00
6. Ngày Giá trị chân 1 = TODAY
7. Ngày Giá trị chân 2 = TODAY + 90 ngày
8. Pay code chân 1 &amp; chân 2
9. Lưu</t>
        </is>
      </c>
      <c r="G2" s="11" t="inlineStr">
        <is>
          <t>GD tạo thành công.
Thành tiền chân 1 = 10M × 26,005.35 = 260,053,500,000 VND
Thành tiền chân 2 = 10M × 26,105.00 = 261,050,000,000 VND</t>
        </is>
      </c>
      <c r="H2" s="12" t="inlineStr">
        <is>
          <t>Happy</t>
        </is>
      </c>
      <c r="I2" s="13" t="inlineStr">
        <is>
          <t>Critical</t>
        </is>
      </c>
      <c r="J2" s="11" t="inlineStr">
        <is>
          <t>Chân 2 dùng Tỷ giá chân 2 (sửa lỗi BRD v1)</t>
        </is>
      </c>
    </row>
    <row r="3">
      <c r="A3" s="14" t="n">
        <v>2</v>
      </c>
      <c r="B3" s="15" t="inlineStr">
        <is>
          <t>FX-SW-002</t>
        </is>
      </c>
      <c r="C3" s="15" t="inlineStr">
        <is>
          <t>Công thức</t>
        </is>
      </c>
      <c r="D3" s="15" t="inlineStr">
        <is>
          <t>Swap chân 2 PHẢI dùng Tỷ giá chân 2 (không phải chân 1)</t>
        </is>
      </c>
      <c r="E3" s="15" t="inlineStr">
        <is>
          <t>Tỷ giá chân 1 = 26,005.35; Tỷ giá chân 2 = 26,105.00; KL = 10,000,000.00</t>
        </is>
      </c>
      <c r="F3" s="15" t="inlineStr">
        <is>
          <t>1. Tạo Swap USD/VND
2. Kiểm tra Thành tiền chân 2</t>
        </is>
      </c>
      <c r="G3" s="15" t="inlineStr">
        <is>
          <t>Thành tiền chân 2 = 10,000,000.00 × 26,105.00 = 261,050,000,000.00 VND
NẾU kết quả = 260,053,500,000 → BUG (đang dùng tỷ giá chân 1)</t>
        </is>
      </c>
      <c r="H3" s="12" t="inlineStr">
        <is>
          <t>Happy</t>
        </is>
      </c>
      <c r="I3" s="13" t="inlineStr">
        <is>
          <t>Critical</t>
        </is>
      </c>
      <c r="J3" s="15" t="inlineStr">
        <is>
          <t>⚠️ BRD v1 có lỗi typo dùng tỷ giá chân 1 cho chân 2</t>
        </is>
      </c>
    </row>
    <row r="4">
      <c r="A4" s="10" t="n">
        <v>3</v>
      </c>
      <c r="B4" s="11" t="inlineStr">
        <is>
          <t>FX-SW-003</t>
        </is>
      </c>
      <c r="C4" s="11" t="inlineStr">
        <is>
          <t>Công thức</t>
        </is>
      </c>
      <c r="D4" s="11" t="inlineStr">
        <is>
          <t>Swap USD/JPY — chân 1 chia, chân 2 chia (với tỷ giá riêng)</t>
        </is>
      </c>
      <c r="E4" s="11" t="inlineStr">
        <is>
          <t>Cặp USD/JPY; TG chân 1 = 150.25; TG chân 2 = 151.00</t>
        </is>
      </c>
      <c r="F4" s="11" t="inlineStr">
        <is>
          <t>1. KL = 5,000,000.00 JPY
2. Kiểm tra cả 2 chân</t>
        </is>
      </c>
      <c r="G4" s="11" t="inlineStr">
        <is>
          <t>Chân 1 = 5,000,000 ÷ 150.25 = 33,277.87 USD
Chân 2 = 5,000,000 ÷ 151.00 = 33,112.58 USD</t>
        </is>
      </c>
      <c r="H4" s="12" t="inlineStr">
        <is>
          <t>Happy</t>
        </is>
      </c>
      <c r="I4" s="13" t="inlineStr">
        <is>
          <t>Critical</t>
        </is>
      </c>
      <c r="J4" s="11" t="inlineStr">
        <is>
          <t>USD/... → chia</t>
        </is>
      </c>
    </row>
    <row r="5">
      <c r="A5" s="14" t="n">
        <v>4</v>
      </c>
      <c r="B5" s="15" t="inlineStr">
        <is>
          <t>FX-SW-004</t>
        </is>
      </c>
      <c r="C5" s="15" t="inlineStr">
        <is>
          <t>Công thức</t>
        </is>
      </c>
      <c r="D5" s="15" t="inlineStr">
        <is>
          <t>Swap AUD/USD — chân 1 nhân, chân 2 nhân</t>
        </is>
      </c>
      <c r="E5" s="15" t="inlineStr">
        <is>
          <t>Cặp AUD/USD; TG chân 1 = 0.6750; TG chân 2 = 0.6800</t>
        </is>
      </c>
      <c r="F5" s="15" t="inlineStr">
        <is>
          <t>1. KL = 2,000,000.00 AUD
2. Kiểm tra</t>
        </is>
      </c>
      <c r="G5" s="15" t="inlineStr">
        <is>
          <t>Chân 1 = 2,000,000 × 0.6750 = 1,350,000.00 USD
Chân 2 = 2,000,000 × 0.6800 = 1,360,000.00 USD</t>
        </is>
      </c>
      <c r="H5" s="12" t="inlineStr">
        <is>
          <t>Happy</t>
        </is>
      </c>
      <c r="I5" s="13" t="inlineStr">
        <is>
          <t>Critical</t>
        </is>
      </c>
      <c r="J5" s="15" t="inlineStr">
        <is>
          <t>.../USD → nhân</t>
        </is>
      </c>
    </row>
    <row r="6">
      <c r="A6" s="10" t="n">
        <v>5</v>
      </c>
      <c r="B6" s="11" t="inlineStr">
        <is>
          <t>FX-SW-005</t>
        </is>
      </c>
      <c r="C6" s="11" t="inlineStr">
        <is>
          <t>Công thức</t>
        </is>
      </c>
      <c r="D6" s="11" t="inlineStr">
        <is>
          <t>Swap cặp chéo EUR/GBP</t>
        </is>
      </c>
      <c r="E6" s="11" t="inlineStr">
        <is>
          <t>Cặp EUR/GBP; TG chân 1 = 0.8650; TG chân 2 = 0.8700</t>
        </is>
      </c>
      <c r="F6" s="11" t="inlineStr">
        <is>
          <t>1. KL = 1,000,000.00 EUR
2. Kiểm tra</t>
        </is>
      </c>
      <c r="G6" s="11" t="inlineStr">
        <is>
          <t>Chân 1 = 1,000,000 × 0.8650 = 865,000.0000 GBP
Chân 2 = 1,000,000 × 0.8700 = 870,000.0000 GBP</t>
        </is>
      </c>
      <c r="H6" s="12" t="inlineStr">
        <is>
          <t>Happy</t>
        </is>
      </c>
      <c r="I6" s="16" t="inlineStr">
        <is>
          <t>High</t>
        </is>
      </c>
      <c r="J6" s="11" t="inlineStr">
        <is>
          <t>Cặp chéo → nhân, kết quả = tiền quote</t>
        </is>
      </c>
    </row>
    <row r="7">
      <c r="A7" s="14" t="n">
        <v>6</v>
      </c>
      <c r="B7" s="15" t="inlineStr">
        <is>
          <t>FX-SW-006</t>
        </is>
      </c>
      <c r="C7" s="15" t="inlineStr">
        <is>
          <t>Ngày tháng</t>
        </is>
      </c>
      <c r="D7" s="15" t="inlineStr">
        <is>
          <t>Ngày Giá trị chân 2 phải SAU chân 1</t>
        </is>
      </c>
      <c r="E7" s="15" t="inlineStr">
        <is>
          <t>Ngày Giá trị chân 1 = 03/04/2026; Ngày Giá trị chân 2 = 03/07/2026</t>
        </is>
      </c>
      <c r="F7" s="15" t="inlineStr">
        <is>
          <t>1. Nhập ngày chân 2 sau chân 1
2. Lưu</t>
        </is>
      </c>
      <c r="G7" s="15" t="inlineStr">
        <is>
          <t>GD tạo thành công. Chân 2 &gt; chân 1.</t>
        </is>
      </c>
      <c r="H7" s="12" t="inlineStr">
        <is>
          <t>Happy</t>
        </is>
      </c>
      <c r="I7" s="16" t="inlineStr">
        <is>
          <t>High</t>
        </is>
      </c>
      <c r="J7" s="15" t="inlineStr"/>
    </row>
    <row r="8">
      <c r="A8" s="10" t="n">
        <v>7</v>
      </c>
      <c r="B8" s="11" t="inlineStr">
        <is>
          <t>FX-SW-007</t>
        </is>
      </c>
      <c r="C8" s="11" t="inlineStr">
        <is>
          <t>Ngày tháng</t>
        </is>
      </c>
      <c r="D8" s="11" t="inlineStr">
        <is>
          <t>Ngày Giá trị chân 2 = chân 1 → BLOCK</t>
        </is>
      </c>
      <c r="E8" s="11" t="inlineStr">
        <is>
          <t>Ngày Giá trị chân 1 = 03/04/2026; chân 2 = 03/04/2026</t>
        </is>
      </c>
      <c r="F8" s="11" t="inlineStr">
        <is>
          <t>1. Nhập chân 2 = chân 1
2. Lưu</t>
        </is>
      </c>
      <c r="G8" s="11" t="inlineStr">
        <is>
          <t>Hệ thống CHẶN: Ngày Giá trị chân 2 phải sau chân 1</t>
        </is>
      </c>
      <c r="H8" s="19" t="inlineStr">
        <is>
          <t>Negative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FX-SW-008</t>
        </is>
      </c>
      <c r="C9" s="15" t="inlineStr">
        <is>
          <t>Ngày tháng</t>
        </is>
      </c>
      <c r="D9" s="15" t="inlineStr">
        <is>
          <t>Ngày Giá trị chân 2 TRƯỚC chân 1 → BLOCK</t>
        </is>
      </c>
      <c r="E9" s="15" t="inlineStr">
        <is>
          <t>Ngày chân 1 = 03/07/2026; chân 2 = 03/04/2026</t>
        </is>
      </c>
      <c r="F9" s="15" t="inlineStr">
        <is>
          <t>1. Nhập chân 2 trước chân 1
2. Lưu</t>
        </is>
      </c>
      <c r="G9" s="15" t="inlineStr">
        <is>
          <t>Hệ thống CHẶN: Ngày Giá trị chân 2 phải sau chân 1</t>
        </is>
      </c>
      <c r="H9" s="19" t="inlineStr">
        <is>
          <t>Negative</t>
        </is>
      </c>
      <c r="I9" s="13" t="inlineStr">
        <is>
          <t>Critical</t>
        </is>
      </c>
      <c r="J9" s="15" t="inlineStr"/>
    </row>
    <row r="10">
      <c r="A10" s="10" t="n">
        <v>9</v>
      </c>
      <c r="B10" s="11" t="inlineStr">
        <is>
          <t>FX-SW-009</t>
        </is>
      </c>
      <c r="C10" s="11" t="inlineStr">
        <is>
          <t>Ngày tháng</t>
        </is>
      </c>
      <c r="D10" s="11" t="inlineStr">
        <is>
          <t>Swap qua năm (chân 1 = 2026, chân 2 = 2027)</t>
        </is>
      </c>
      <c r="E10" s="11" t="inlineStr">
        <is>
          <t>Ngày chân 1 = 15/12/2026; chân 2 = 15/03/2027</t>
        </is>
      </c>
      <c r="F10" s="11" t="inlineStr">
        <is>
          <t>1. Tạo Swap qua năm
2. Lưu</t>
        </is>
      </c>
      <c r="G10" s="11" t="inlineStr">
        <is>
          <t>GD tạo thành công. Hệ thống xử lý đúng giao dịch qua năm.</t>
        </is>
      </c>
      <c r="H10" s="18" t="inlineStr">
        <is>
          <t>Edge</t>
        </is>
      </c>
      <c r="I10" s="17" t="inlineStr">
        <is>
          <t>Medium</t>
        </is>
      </c>
      <c r="J10" s="11" t="inlineStr"/>
    </row>
    <row r="11">
      <c r="A11" s="14" t="n">
        <v>10</v>
      </c>
      <c r="B11" s="15" t="inlineStr">
        <is>
          <t>FX-SW-010</t>
        </is>
      </c>
      <c r="C11" s="15" t="inlineStr">
        <is>
          <t>Tỷ giá</t>
        </is>
      </c>
      <c r="D11" s="15" t="inlineStr">
        <is>
          <t>Tỷ giá chân 1 = 0 → division by zero (USD/...)</t>
        </is>
      </c>
      <c r="E11" s="15" t="inlineStr">
        <is>
          <t>Cặp USD/JPY; TG chân 1 = 0</t>
        </is>
      </c>
      <c r="F11" s="15" t="inlineStr">
        <is>
          <t>1. Nhập TG chân 1 = 0
2. Lưu</t>
        </is>
      </c>
      <c r="G11" s="15" t="inlineStr">
        <is>
          <t>Hệ thống CHẶN: Tỷ giá phải &gt; 0</t>
        </is>
      </c>
      <c r="H11" s="19" t="inlineStr">
        <is>
          <t>Negative</t>
        </is>
      </c>
      <c r="I11" s="13" t="inlineStr">
        <is>
          <t>Critical</t>
        </is>
      </c>
      <c r="J11" s="15" t="inlineStr">
        <is>
          <t>Division by zero cho công thức chia</t>
        </is>
      </c>
    </row>
    <row r="12">
      <c r="A12" s="10" t="n">
        <v>11</v>
      </c>
      <c r="B12" s="11" t="inlineStr">
        <is>
          <t>FX-SW-011</t>
        </is>
      </c>
      <c r="C12" s="11" t="inlineStr">
        <is>
          <t>Tỷ giá</t>
        </is>
      </c>
      <c r="D12" s="11" t="inlineStr">
        <is>
          <t>Tỷ giá chân 2 = 0</t>
        </is>
      </c>
      <c r="E12" s="11" t="inlineStr">
        <is>
          <t>Cặp USD/JPY; TG chân 2 = 0</t>
        </is>
      </c>
      <c r="F12" s="11" t="inlineStr">
        <is>
          <t>1. TG chân 2 = 0
2. Lưu</t>
        </is>
      </c>
      <c r="G12" s="11" t="inlineStr">
        <is>
          <t>Hệ thống CHẶN: Tỷ giá chân 2 phải &gt; 0</t>
        </is>
      </c>
      <c r="H12" s="19" t="inlineStr">
        <is>
          <t>Negative</t>
        </is>
      </c>
      <c r="I12" s="13" t="inlineStr">
        <is>
          <t>Critical</t>
        </is>
      </c>
      <c r="J12" s="11" t="inlineStr"/>
    </row>
    <row r="13">
      <c r="A13" s="14" t="n">
        <v>12</v>
      </c>
      <c r="B13" s="15" t="inlineStr">
        <is>
          <t>FX-SW-012</t>
        </is>
      </c>
      <c r="C13" s="15" t="inlineStr">
        <is>
          <t>Luồng duyệt</t>
        </is>
      </c>
      <c r="D13" s="15" t="inlineStr">
        <is>
          <t>Swap đi qua đúng luồng FX (không qua QLRR)</t>
        </is>
      </c>
      <c r="E13" s="15" t="inlineStr">
        <is>
          <t>GD Swap tạo thành công</t>
        </is>
      </c>
      <c r="F13" s="15" t="inlineStr">
        <is>
          <t>1. CV submit
2. TP duyệt
3. GĐ duyệt
4. KTTC cấp 1 duyệt
5. KTTC cấp 2 duyệt
6. TTQT (nếu có)</t>
        </is>
      </c>
      <c r="G13" s="15" t="inlineStr">
        <is>
          <t>Luồng Swap giống Spot/Forward.
KHÔNG qua QLRR.</t>
        </is>
      </c>
      <c r="H13" s="12" t="inlineStr">
        <is>
          <t>Happy</t>
        </is>
      </c>
      <c r="I13" s="13" t="inlineStr">
        <is>
          <t>Critical</t>
        </is>
      </c>
      <c r="J13" s="15" t="inlineStr"/>
    </row>
    <row r="14">
      <c r="A14" s="10" t="n">
        <v>13</v>
      </c>
      <c r="B14" s="11" t="inlineStr">
        <is>
          <t>FX-SW-013</t>
        </is>
      </c>
      <c r="C14" s="11" t="inlineStr">
        <is>
          <t>TTQT</t>
        </is>
      </c>
      <c r="D14" s="11" t="inlineStr">
        <is>
          <t>Swap chân 1 có TTQT, chân 2 có TTQT</t>
        </is>
      </c>
      <c r="E14" s="11" t="inlineStr">
        <is>
          <t>Pay code đối tác chân 1 &amp; chân 2 đều SWIFT quốc tế</t>
        </is>
      </c>
      <c r="F14" s="11" t="inlineStr">
        <is>
          <t>1. Tạo Swap
2. Kiểm tra TTQT chân 1 &amp; chân 2</t>
        </is>
      </c>
      <c r="G14" s="11" t="inlineStr">
        <is>
          <t>TTQT chân 1 = Có; TTQT chân 2 = Có.
Chân 1 và chân 2 xuất hiện trên TTQT theo đúng ngày thực hiện.</t>
        </is>
      </c>
      <c r="H14" s="12" t="inlineStr">
        <is>
          <t>Happy</t>
        </is>
      </c>
      <c r="I14" s="16" t="inlineStr">
        <is>
          <t>High</t>
        </is>
      </c>
      <c r="J14" s="11" t="inlineStr"/>
    </row>
    <row r="15">
      <c r="A15" s="14" t="n">
        <v>14</v>
      </c>
      <c r="B15" s="15" t="inlineStr">
        <is>
          <t>FX-SW-014</t>
        </is>
      </c>
      <c r="C15" s="15" t="inlineStr">
        <is>
          <t>TTQT</t>
        </is>
      </c>
      <c r="D15" s="15" t="inlineStr">
        <is>
          <t>Ticket Swap: chân 1 suffix 'A', chân 2 suffix 'B'</t>
        </is>
      </c>
      <c r="E15" s="15" t="inlineStr">
        <is>
          <t>Số Ticket gốc = 12345</t>
        </is>
      </c>
      <c r="F15" s="15" t="inlineStr">
        <is>
          <t>1. Tạo Swap có Số Ticket = 12345
2. Kiểm tra trên màn hình TTQT</t>
        </is>
      </c>
      <c r="G15" s="15" t="inlineStr">
        <is>
          <t>TTQT chân 1: Ticket = 12345A
TTQT chân 2: Ticket = 12345B</t>
        </is>
      </c>
      <c r="H15" s="12" t="inlineStr">
        <is>
          <t>Happy</t>
        </is>
      </c>
      <c r="I15" s="16" t="inlineStr">
        <is>
          <t>High</t>
        </is>
      </c>
      <c r="J15" s="15" t="inlineStr">
        <is>
          <t>BRD: suffix A/B</t>
        </is>
      </c>
    </row>
    <row r="16">
      <c r="A16" s="10" t="n">
        <v>15</v>
      </c>
      <c r="B16" s="11" t="inlineStr">
        <is>
          <t>FX-SW-015</t>
        </is>
      </c>
      <c r="C16" s="11" t="inlineStr">
        <is>
          <t>Ràng buộc</t>
        </is>
      </c>
      <c r="D16" s="11" t="inlineStr">
        <is>
          <t>Thiếu Pay code chân 1</t>
        </is>
      </c>
      <c r="E16" s="11" t="inlineStr">
        <is>
          <t>Không nhập Pay code KLB chân 1</t>
        </is>
      </c>
      <c r="F16" s="11" t="inlineStr">
        <is>
          <t>1. Bỏ trống Pay code KLB chân 1
2. Lưu</t>
        </is>
      </c>
      <c r="G16" s="11" t="inlineStr">
        <is>
          <t>Hệ thống CHẶN: Pay code KLB chân 1 bắt buộc</t>
        </is>
      </c>
      <c r="H16" s="19" t="inlineStr">
        <is>
          <t>Negative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FX-SW-016</t>
        </is>
      </c>
      <c r="C17" s="15" t="inlineStr">
        <is>
          <t>Ràng buộc</t>
        </is>
      </c>
      <c r="D17" s="15" t="inlineStr">
        <is>
          <t>Thiếu Pay code chân 2</t>
        </is>
      </c>
      <c r="E17" s="15" t="inlineStr">
        <is>
          <t>Không nhập Pay code đối tác chân 2</t>
        </is>
      </c>
      <c r="F17" s="15" t="inlineStr">
        <is>
          <t>1. Bỏ trống
2. Lưu</t>
        </is>
      </c>
      <c r="G17" s="15" t="inlineStr">
        <is>
          <t>Hệ thống CHẶN: Pay code đối tác chân 2 bắt buộc</t>
        </is>
      </c>
      <c r="H17" s="19" t="inlineStr">
        <is>
          <t>Negative</t>
        </is>
      </c>
      <c r="I17" s="16" t="inlineStr">
        <is>
          <t>High</t>
        </is>
      </c>
      <c r="J17" s="15" t="inlineStr"/>
    </row>
    <row r="18">
      <c r="A18" s="10" t="n">
        <v>17</v>
      </c>
      <c r="B18" s="11" t="inlineStr">
        <is>
          <t>FX-SW-017</t>
        </is>
      </c>
      <c r="C18" s="11" t="inlineStr">
        <is>
          <t>Công thức</t>
        </is>
      </c>
      <c r="D18" s="11" t="inlineStr">
        <is>
          <t>Swap với số lượng cực lớn (100M USD × 26,000)</t>
        </is>
      </c>
      <c r="E18" s="11" t="inlineStr">
        <is>
          <t>KL = 100,000,000.00 USD; TG = 26,000.00</t>
        </is>
      </c>
      <c r="F18" s="11" t="inlineStr">
        <is>
          <t>1. Tạo Swap
2. Kiểm tra Thành tiền</t>
        </is>
      </c>
      <c r="G18" s="11" t="inlineStr">
        <is>
          <t>Thành tiền = 2,600,000,000,000.00 VND (2.6 nghìn tỷ). Không overflow.</t>
        </is>
      </c>
      <c r="H18" s="18" t="inlineStr">
        <is>
          <t>Edge</t>
        </is>
      </c>
      <c r="I18" s="16" t="inlineStr">
        <is>
          <t>High</t>
        </is>
      </c>
      <c r="J18" s="11" t="inlineStr">
        <is>
          <t>Kiểm tra overflow</t>
        </is>
      </c>
    </row>
    <row r="19">
      <c r="A19" s="14" t="n">
        <v>18</v>
      </c>
      <c r="B19" s="15" t="inlineStr">
        <is>
          <t>FX-SW-018</t>
        </is>
      </c>
      <c r="C19" s="15" t="inlineStr">
        <is>
          <t>Tỷ giá</t>
        </is>
      </c>
      <c r="D19" s="15" t="inlineStr">
        <is>
          <t>Tỷ giá chân 1 = tỷ giá chân 2 (Swap flat)</t>
        </is>
      </c>
      <c r="E19" s="15" t="inlineStr">
        <is>
          <t>TG chân 1 = TG chân 2 = 26,005.35</t>
        </is>
      </c>
      <c r="F19" s="15" t="inlineStr">
        <is>
          <t>1. Nhập TG giống nhau
2. Lưu</t>
        </is>
      </c>
      <c r="G19" s="15" t="inlineStr">
        <is>
          <t>GD tạo thành công. Cho phép TG chân 1 = chân 2 (Swap flat).</t>
        </is>
      </c>
      <c r="H19" s="18" t="inlineStr">
        <is>
          <t>Edge</t>
        </is>
      </c>
      <c r="I19" s="20" t="inlineStr">
        <is>
          <t>Low</t>
        </is>
      </c>
      <c r="J19" s="15" t="inlineStr"/>
    </row>
    <row r="20">
      <c r="A20" s="10" t="n">
        <v>19</v>
      </c>
      <c r="B20" s="11" t="inlineStr">
        <is>
          <t>FX-SW-019</t>
        </is>
      </c>
      <c r="C20" s="11" t="inlineStr">
        <is>
          <t>Ngày tháng</t>
        </is>
      </c>
      <c r="D20" s="11" t="inlineStr">
        <is>
          <t>Swap 29/02 năm nhuận (chân 2)</t>
        </is>
      </c>
      <c r="E20" s="11" t="inlineStr">
        <is>
          <t>Chân 2 = 29/02/2028</t>
        </is>
      </c>
      <c r="F20" s="11" t="inlineStr">
        <is>
          <t>1. Nhập ngày chân 2 = 29/02/2028
2. Lưu</t>
        </is>
      </c>
      <c r="G20" s="11" t="inlineStr">
        <is>
          <t>GD tạo thành công. Ngày hợp lệ trong năm nhuận.</t>
        </is>
      </c>
      <c r="H20" s="18" t="inlineStr">
        <is>
          <t>Edge</t>
        </is>
      </c>
      <c r="I20" s="17" t="inlineStr">
        <is>
          <t>Medium</t>
        </is>
      </c>
      <c r="J20" s="11" t="inlineStr"/>
    </row>
    <row r="21">
      <c r="A21" s="14" t="n">
        <v>20</v>
      </c>
      <c r="B21" s="15" t="inlineStr">
        <is>
          <t>FX-SW-020</t>
        </is>
      </c>
      <c r="C21" s="15" t="inlineStr">
        <is>
          <t>Workflow</t>
        </is>
      </c>
      <c r="D21" s="15" t="inlineStr">
        <is>
          <t>CV sửa Swap sau TP duyệt → BLOCK</t>
        </is>
      </c>
      <c r="E21" s="15" t="inlineStr">
        <is>
          <t>Swap ở trạng thái Chờ K.NV duyệt</t>
        </is>
      </c>
      <c r="F21" s="15" t="inlineStr">
        <is>
          <t>1. CV mở Swap
2. Cố sửa TG chân 2</t>
        </is>
      </c>
      <c r="G21" s="15" t="inlineStr">
        <is>
          <t>Hệ thống CHẶN: Không cho sửa sau TP duyệt.</t>
        </is>
      </c>
      <c r="H21" s="19" t="inlineStr">
        <is>
          <t>Negative</t>
        </is>
      </c>
      <c r="I21" s="13" t="inlineStr">
        <is>
          <t>Critical</t>
        </is>
      </c>
      <c r="J21" s="15" t="inlineStr"/>
    </row>
    <row r="22">
      <c r="A22" s="10" t="n">
        <v>21</v>
      </c>
      <c r="B22" s="11" t="inlineStr">
        <is>
          <t>FX-SW-021</t>
        </is>
      </c>
      <c r="C22" s="11" t="inlineStr">
        <is>
          <t>Chiều GD</t>
        </is>
      </c>
      <c r="D22" s="11" t="inlineStr">
        <is>
          <t>Swap Buy-Sell thành công</t>
        </is>
      </c>
      <c r="E22" s="11" t="inlineStr">
        <is>
          <t>Chiều = Buy - Sell</t>
        </is>
      </c>
      <c r="F22" s="11" t="inlineStr">
        <is>
          <t>1. Chọn Chiều = Buy - Sell
2. Điền đầy đủ
3. Lưu</t>
        </is>
      </c>
      <c r="G22" s="11" t="inlineStr">
        <is>
          <t>GD tạo thành công. Chiều GD = Buy - Sell.</t>
        </is>
      </c>
      <c r="H22" s="12" t="inlineStr">
        <is>
          <t>Happy</t>
        </is>
      </c>
      <c r="I22" s="16" t="inlineStr">
        <is>
          <t>High</t>
        </is>
      </c>
      <c r="J22" s="11" t="inlineStr"/>
    </row>
    <row r="23">
      <c r="A23" s="14" t="n">
        <v>22</v>
      </c>
      <c r="B23" s="15" t="inlineStr">
        <is>
          <t>FX-SW-022</t>
        </is>
      </c>
      <c r="C23" s="15" t="inlineStr">
        <is>
          <t>Tỷ giá</t>
        </is>
      </c>
      <c r="D23" s="15" t="inlineStr">
        <is>
          <t>Tỷ giá âm cho chân 1</t>
        </is>
      </c>
      <c r="E23" s="15" t="inlineStr">
        <is>
          <t>TG chân 1 = -26,005.35</t>
        </is>
      </c>
      <c r="F23" s="15" t="inlineStr">
        <is>
          <t>1. Nhập TG chân 1 âm
2. Lưu</t>
        </is>
      </c>
      <c r="G23" s="15" t="inlineStr">
        <is>
          <t>Hệ thống CHẶN: Tỷ giá phải &gt; 0</t>
        </is>
      </c>
      <c r="H23" s="19" t="inlineStr">
        <is>
          <t>Negative</t>
        </is>
      </c>
      <c r="I23" s="16" t="inlineStr">
        <is>
          <t>High</t>
        </is>
      </c>
      <c r="J23" s="15" t="inlineStr"/>
    </row>
    <row r="24">
      <c r="A24" s="10" t="n">
        <v>23</v>
      </c>
      <c r="B24" s="11" t="inlineStr">
        <is>
          <t>FX-SW-023</t>
        </is>
      </c>
      <c r="C24" s="11" t="inlineStr">
        <is>
          <t>Tỷ giá</t>
        </is>
      </c>
      <c r="D24" s="11" t="inlineStr">
        <is>
          <t>Tỷ giá decimal precision cho Swap</t>
        </is>
      </c>
      <c r="E24" s="11" t="inlineStr">
        <is>
          <t>USD/VND: TG chân 1 = 26,005.3567 (4 chữ số)</t>
        </is>
      </c>
      <c r="F24" s="11" t="inlineStr">
        <is>
          <t>1. Nhập TG chân 1 với 4 decimal cho USD/VND</t>
        </is>
      </c>
      <c r="G24" s="11" t="inlineStr">
        <is>
          <t>Hệ thống chỉ cho 2 decimal: 26,005.35. Cắt/làm tròn.</t>
        </is>
      </c>
      <c r="H24" s="18" t="inlineStr">
        <is>
          <t>Edge</t>
        </is>
      </c>
      <c r="I24" s="16" t="inlineStr">
        <is>
          <t>High</t>
        </is>
      </c>
      <c r="J24" s="11" t="inlineStr"/>
    </row>
    <row r="25">
      <c r="A25" s="14" t="n">
        <v>24</v>
      </c>
      <c r="B25" s="15" t="inlineStr">
        <is>
          <t>FX-SW-024</t>
        </is>
      </c>
      <c r="C25" s="15" t="inlineStr">
        <is>
          <t>File</t>
        </is>
      </c>
      <c r="D25" s="15" t="inlineStr">
        <is>
          <t>Upload file đính kèm cho Swap</t>
        </is>
      </c>
      <c r="E25" s="15" t="inlineStr">
        <is>
          <t>File hợp đồng swap</t>
        </is>
      </c>
      <c r="F25" s="15" t="inlineStr">
        <is>
          <t>1. Tạo Swap
2. Upload file
3. Lưu</t>
        </is>
      </c>
      <c r="G25" s="15" t="inlineStr">
        <is>
          <t>File lưu thành công</t>
        </is>
      </c>
      <c r="H25" s="12" t="inlineStr">
        <is>
          <t>Happy</t>
        </is>
      </c>
      <c r="I25" s="20" t="inlineStr">
        <is>
          <t>Low</t>
        </is>
      </c>
      <c r="J25" s="15" t="inlineStr"/>
    </row>
    <row r="26">
      <c r="A26" s="10" t="n">
        <v>25</v>
      </c>
      <c r="B26" s="11" t="inlineStr">
        <is>
          <t>FX-SW-025</t>
        </is>
      </c>
      <c r="C26" s="11" t="inlineStr">
        <is>
          <t>Tạo GD Swap</t>
        </is>
      </c>
      <c r="D26" s="11" t="inlineStr">
        <is>
          <t>Tạo Swap không nhập Số Ticket (không bắt buộc)</t>
        </is>
      </c>
      <c r="E26" s="11" t="inlineStr">
        <is>
          <t>Bỏ trống Số Ticket</t>
        </is>
      </c>
      <c r="F26" s="11" t="inlineStr">
        <is>
          <t>1. Tạo Swap không nhập Ticket
2. Lưu</t>
        </is>
      </c>
      <c r="G26" s="11" t="inlineStr">
        <is>
          <t>GD tạo thành công. Số Ticket = trống.</t>
        </is>
      </c>
      <c r="H26" s="12" t="inlineStr">
        <is>
          <t>Happy</t>
        </is>
      </c>
      <c r="I26" s="20" t="inlineStr">
        <is>
          <t>Low</t>
        </is>
      </c>
      <c r="J26" s="11" t="inlineStr"/>
    </row>
    <row r="27">
      <c r="A27" s="10" t="n">
        <v>26</v>
      </c>
      <c r="B27" s="11" t="inlineStr">
        <is>
          <t>FX-SW-026</t>
        </is>
      </c>
      <c r="C27" s="11" t="inlineStr">
        <is>
          <t>Clone</t>
        </is>
      </c>
      <c r="D27" s="11" t="inlineStr">
        <is>
          <t>Clone GD Swap bị Từ chối → copy đủ 2 chân</t>
        </is>
      </c>
      <c r="E27" s="11" t="inlineStr">
        <is>
          <t>GD FX Swap trạng thái Từ chối</t>
        </is>
      </c>
      <c r="F27" s="11" t="inlineStr">
        <is>
          <t>1. CV mở GD Swap bị Từ chối
2. Nhấn Clone</t>
        </is>
      </c>
      <c r="G27" s="11" t="inlineStr">
        <is>
          <t>GD mới Open, copy đầy đủ chân 1 + chân 2 + pay codes</t>
        </is>
      </c>
      <c r="H27" s="12" t="inlineStr">
        <is>
          <t>Happy</t>
        </is>
      </c>
      <c r="I27" s="20" t="inlineStr">
        <is>
          <t>Critical</t>
        </is>
      </c>
      <c r="J27" s="11" t="inlineStr">
        <is>
          <t>BRD §4.3 + LDB-030</t>
        </is>
      </c>
    </row>
    <row r="28">
      <c r="A28" s="10" t="n">
        <v>27</v>
      </c>
      <c r="B28" s="11" t="inlineStr">
        <is>
          <t>FX-SW-027</t>
        </is>
      </c>
      <c r="C28" s="11" t="inlineStr">
        <is>
          <t>Cancel</t>
        </is>
      </c>
      <c r="D28" s="11" t="inlineStr">
        <is>
          <t>Cancel GD Swap Hoàn thành — luồng 2 cấp</t>
        </is>
      </c>
      <c r="E28" s="11" t="inlineStr">
        <is>
          <t>GD FX Swap Hoàn thành</t>
        </is>
      </c>
      <c r="F28" s="11" t="inlineStr">
        <is>
          <t>1. CV yêu cầu hủy
2. TP duyệt cấp 1
3. GĐ duyệt cấp 2</t>
        </is>
      </c>
      <c r="G28" s="11" t="inlineStr">
        <is>
          <t>GD Swap chuyển Đã hủy. Email gửi P.KTTC + TTQT (nếu có)</t>
        </is>
      </c>
      <c r="H28" s="12" t="inlineStr">
        <is>
          <t>Happy</t>
        </is>
      </c>
      <c r="I28" s="20" t="inlineStr">
        <is>
          <t>Critical</t>
        </is>
      </c>
      <c r="J28" s="11" t="inlineStr">
        <is>
          <t>BRD v3 §4.2</t>
        </is>
      </c>
    </row>
    <row r="29">
      <c r="A29" s="10" t="n">
        <v>28</v>
      </c>
      <c r="B29" s="11" t="inlineStr">
        <is>
          <t>FX-SW-028</t>
        </is>
      </c>
      <c r="C29" s="11" t="inlineStr">
        <is>
          <t>Export</t>
        </is>
      </c>
      <c r="D29" s="11" t="inlineStr">
        <is>
          <t>Export PDF giao dịch FX Swap — hiển thị đủ 2 chân</t>
        </is>
      </c>
      <c r="E29" s="11" t="inlineStr">
        <is>
          <t>GD FX Swap Hoàn thành</t>
        </is>
      </c>
      <c r="F29" s="11" t="inlineStr">
        <is>
          <t>1. Mở chi tiết GD Swap
2. Nhấn Export PDF</t>
        </is>
      </c>
      <c r="G29" s="11" t="inlineStr">
        <is>
          <t>PDF hiển thị đầy đủ thông tin chân 1 + chân 2</t>
        </is>
      </c>
      <c r="H29" s="12" t="inlineStr">
        <is>
          <t>Happy</t>
        </is>
      </c>
      <c r="I29" s="20" t="inlineStr">
        <is>
          <t>High</t>
        </is>
      </c>
      <c r="J29" s="11" t="inlineStr">
        <is>
          <t>BRD §9.3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GT-GV-001</t>
        </is>
      </c>
      <c r="C2" s="11" t="inlineStr">
        <is>
          <t>Tạo GD mua</t>
        </is>
      </c>
      <c r="D2" s="11" t="inlineStr">
        <is>
          <t>Tạo giao dịch mua Govi Bond Outright thành công</t>
        </is>
      </c>
      <c r="E2" s="11" t="inlineStr">
        <is>
          <t>CV K.NV; Mã TP = TD2135068 tồn tại trong danh mục</t>
        </is>
      </c>
      <c r="F2" s="11" t="inlineStr">
        <is>
          <t>1. Chiều = Bên mua
2. Loại GD = Outright
3. Mã TP = TD2135068
4. SL = 1.000.000
5. Giá thanh toán = 1.206.307.366
6. Hạch toán = HTM
7. Lưu</t>
        </is>
      </c>
      <c r="G2" s="11" t="inlineStr">
        <is>
          <t>GD tạo thành công.
Tổng giá trị = 1.000.000 × 1.206.307.366 = 1.206.307.366.000.000
Format VN: dấu . ngăn nghìn</t>
        </is>
      </c>
      <c r="H2" s="12" t="inlineStr">
        <is>
          <t>Happy</t>
        </is>
      </c>
      <c r="I2" s="13" t="inlineStr">
        <is>
          <t>Critical</t>
        </is>
      </c>
      <c r="J2" s="11" t="inlineStr">
        <is>
          <t>GTCG dùng format VN (. ngăn nghìn)</t>
        </is>
      </c>
    </row>
    <row r="3">
      <c r="A3" s="14" t="n">
        <v>2</v>
      </c>
      <c r="B3" s="15" t="inlineStr">
        <is>
          <t>GT-GV-002</t>
        </is>
      </c>
      <c r="C3" s="15" t="inlineStr">
        <is>
          <t>Công thức</t>
        </is>
      </c>
      <c r="D3" s="15" t="inlineStr">
        <is>
          <t>Tổng giá trị = Số lượng × Giá thanh toán</t>
        </is>
      </c>
      <c r="E3" s="15" t="inlineStr">
        <is>
          <t>SL = 500.000; Giá TT = 120.160</t>
        </is>
      </c>
      <c r="F3" s="15" t="inlineStr">
        <is>
          <t>1. Nhập SL và Giá TT
2. Kiểm tra Tổng giá trị</t>
        </is>
      </c>
      <c r="G3" s="15" t="inlineStr">
        <is>
          <t>Tổng giá trị = 500.000 × 120.160 = 60.080.000.000</t>
        </is>
      </c>
      <c r="H3" s="12" t="inlineStr">
        <is>
          <t>Happy</t>
        </is>
      </c>
      <c r="I3" s="13" t="inlineStr">
        <is>
          <t>Critical</t>
        </is>
      </c>
      <c r="J3" s="15" t="inlineStr"/>
    </row>
    <row r="4">
      <c r="A4" s="10" t="n">
        <v>3</v>
      </c>
      <c r="B4" s="11" t="inlineStr">
        <is>
          <t>GT-GV-003</t>
        </is>
      </c>
      <c r="C4" s="11" t="inlineStr">
        <is>
          <t>Công thức</t>
        </is>
      </c>
      <c r="D4" s="11" t="inlineStr">
        <is>
          <t>Kỳ hạn còn lại = Ngày đáo hạn - Ngày thanh toán</t>
        </is>
      </c>
      <c r="E4" s="11" t="inlineStr">
        <is>
          <t>Ngày đáo hạn = 12/03/2035; Ngày TT = 13/03/2026</t>
        </is>
      </c>
      <c r="F4" s="11" t="inlineStr">
        <is>
          <t>1. Chọn Mã TP có đáo hạn 12/03/2035
2. Ngày TT = 13/03/2026
3. Kiểm tra Kỳ hạn còn lại</t>
        </is>
      </c>
      <c r="G4" s="11" t="inlineStr">
        <is>
          <t>Kỳ hạn còn lại = 3.286 ngày (tính từ 13/03/2026 → 12/03/2035)</t>
        </is>
      </c>
      <c r="H4" s="12" t="inlineStr">
        <is>
          <t>Happy</t>
        </is>
      </c>
      <c r="I4" s="16" t="inlineStr">
        <is>
          <t>High</t>
        </is>
      </c>
      <c r="J4" s="11" t="inlineStr"/>
    </row>
    <row r="5">
      <c r="A5" s="14" t="n">
        <v>4</v>
      </c>
      <c r="B5" s="15" t="inlineStr">
        <is>
          <t>GT-GV-004</t>
        </is>
      </c>
      <c r="C5" s="15" t="inlineStr">
        <is>
          <t>Tồn kho</t>
        </is>
      </c>
      <c r="D5" s="15" t="inlineStr">
        <is>
          <t>Bán vượt tồn kho → BLOCK cứng</t>
        </is>
      </c>
      <c r="E5" s="15" t="inlineStr">
        <is>
          <t>Mã TP TD2135068 tồn kho = 100.000; Chiều = Bên bán</t>
        </is>
      </c>
      <c r="F5" s="15" t="inlineStr">
        <is>
          <t>1. Chiều = Bên bán
2. SL = 150.000 (&gt; tồn kho 100.000)
3. Lưu</t>
        </is>
      </c>
      <c r="G5" s="15" t="inlineStr">
        <is>
          <t>Hệ thống CHẶN CỨNG: 'Số lượng bán (150.000) vượt tồn kho hiện có (100.000)'. Không cho tạo GD.</t>
        </is>
      </c>
      <c r="H5" s="19" t="inlineStr">
        <is>
          <t>Negative</t>
        </is>
      </c>
      <c r="I5" s="13" t="inlineStr">
        <is>
          <t>Critical</t>
        </is>
      </c>
      <c r="J5" s="15" t="inlineStr">
        <is>
          <t>BRD: Block cứng khi bán vượt tồn kho</t>
        </is>
      </c>
    </row>
    <row r="6">
      <c r="A6" s="10" t="n">
        <v>5</v>
      </c>
      <c r="B6" s="11" t="inlineStr">
        <is>
          <t>GT-GV-005</t>
        </is>
      </c>
      <c r="C6" s="11" t="inlineStr">
        <is>
          <t>Tồn kho</t>
        </is>
      </c>
      <c r="D6" s="11" t="inlineStr">
        <is>
          <t>Bán = đúng tồn kho → cho phép</t>
        </is>
      </c>
      <c r="E6" s="11" t="inlineStr">
        <is>
          <t>Tồn kho = 100.000; SL bán = 100.000</t>
        </is>
      </c>
      <c r="F6" s="11" t="inlineStr">
        <is>
          <t>1. SL bán = 100.000
2. Lưu</t>
        </is>
      </c>
      <c r="G6" s="11" t="inlineStr">
        <is>
          <t>GD tạo thành công. Bán hết tồn kho cho phép.</t>
        </is>
      </c>
      <c r="H6" s="18" t="inlineStr">
        <is>
          <t>Edge</t>
        </is>
      </c>
      <c r="I6" s="16" t="inlineStr">
        <is>
          <t>High</t>
        </is>
      </c>
      <c r="J6" s="11" t="inlineStr"/>
    </row>
    <row r="7">
      <c r="A7" s="14" t="n">
        <v>6</v>
      </c>
      <c r="B7" s="15" t="inlineStr">
        <is>
          <t>GT-GV-006</t>
        </is>
      </c>
      <c r="C7" s="15" t="inlineStr">
        <is>
          <t>Tồn kho</t>
        </is>
      </c>
      <c r="D7" s="15" t="inlineStr">
        <is>
          <t>Bán &lt; tồn kho → cho phép</t>
        </is>
      </c>
      <c r="E7" s="15" t="inlineStr">
        <is>
          <t>Tồn kho = 100.000; SL bán = 50.000</t>
        </is>
      </c>
      <c r="F7" s="15" t="inlineStr">
        <is>
          <t>1. SL bán = 50.000
2. Lưu</t>
        </is>
      </c>
      <c r="G7" s="15" t="inlineStr">
        <is>
          <t>GD tạo thành công.</t>
        </is>
      </c>
      <c r="H7" s="12" t="inlineStr">
        <is>
          <t>Happy</t>
        </is>
      </c>
      <c r="I7" s="16" t="inlineStr">
        <is>
          <t>High</t>
        </is>
      </c>
      <c r="J7" s="15" t="inlineStr"/>
    </row>
    <row r="8">
      <c r="A8" s="10" t="n">
        <v>7</v>
      </c>
      <c r="B8" s="11" t="inlineStr">
        <is>
          <t>GT-GV-007</t>
        </is>
      </c>
      <c r="C8" s="11" t="inlineStr">
        <is>
          <t>Trường tự động</t>
        </is>
      </c>
      <c r="D8" s="11" t="inlineStr">
        <is>
          <t>Lãi suất coupon, Ngày phát hành, Ngày đáo hạn, Mệnh giá tự động</t>
        </is>
      </c>
      <c r="E8" s="11" t="inlineStr">
        <is>
          <t>Mã TP = TD2135068 trong danh mục</t>
        </is>
      </c>
      <c r="F8" s="11" t="inlineStr">
        <is>
          <t>1. Chọn Mã TP = TD2135068</t>
        </is>
      </c>
      <c r="G8" s="11" t="inlineStr">
        <is>
          <t>Tự động điền: Lãi suất coupon, Ngày phát hành, Ngày đáo hạn, Mệnh giá từ danh mục</t>
        </is>
      </c>
      <c r="H8" s="12" t="inlineStr">
        <is>
          <t>Happy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GT-GV-008</t>
        </is>
      </c>
      <c r="C9" s="15" t="inlineStr">
        <is>
          <t>Luồng duyệt</t>
        </is>
      </c>
      <c r="D9" s="15" t="inlineStr">
        <is>
          <t>GTCG KHÔNG qua QLRR, KHÔNG qua TTQT</t>
        </is>
      </c>
      <c r="E9" s="15" t="inlineStr">
        <is>
          <t>GD GTCG Govi Bond tạo thành công</t>
        </is>
      </c>
      <c r="F9" s="15" t="inlineStr">
        <is>
          <t>1. CV submit
2. TP duyệt
3. GĐ duyệt
4. CV KTTC cấp 1
5. LĐ KTTC cấp 2
→ Hoàn thành</t>
        </is>
      </c>
      <c r="G9" s="15" t="inlineStr">
        <is>
          <t>GD hoàn thành qua 5 bước.
KHÔNG có bước QLRR.
KHÔNG có bước TTQT.</t>
        </is>
      </c>
      <c r="H9" s="12" t="inlineStr">
        <is>
          <t>Happy</t>
        </is>
      </c>
      <c r="I9" s="13" t="inlineStr">
        <is>
          <t>Critical</t>
        </is>
      </c>
      <c r="J9" s="15" t="inlineStr">
        <is>
          <t>BRD v3: GTCG không qua QLRR, không qua TTQT</t>
        </is>
      </c>
    </row>
    <row r="10">
      <c r="A10" s="10" t="n">
        <v>9</v>
      </c>
      <c r="B10" s="11" t="inlineStr">
        <is>
          <t>GT-GV-009</t>
        </is>
      </c>
      <c r="C10" s="11" t="inlineStr">
        <is>
          <t>Luồng duyệt</t>
        </is>
      </c>
      <c r="D10" s="11" t="inlineStr">
        <is>
          <t>Verify GTCG không hiển thị trạng thái 'Chờ QLRR'</t>
        </is>
      </c>
      <c r="E10" s="11" t="inlineStr">
        <is>
          <t>GD GTCG đã tạo</t>
        </is>
      </c>
      <c r="F10" s="11" t="inlineStr">
        <is>
          <t>1. Theo dõi GD từ Open → Hoàn thành
2. Kiểm tra không có trạng thái 'Chờ QLRR'</t>
        </is>
      </c>
      <c r="G10" s="11" t="inlineStr">
        <is>
          <t>Danh sách trạng thái GTCG KHÔNG bao gồm 'Chờ QLRR' và 'Chờ TTQT'</t>
        </is>
      </c>
      <c r="H10" s="19" t="inlineStr">
        <is>
          <t>Negative</t>
        </is>
      </c>
      <c r="I10" s="13" t="inlineStr">
        <is>
          <t>Critical</t>
        </is>
      </c>
      <c r="J10" s="11" t="inlineStr">
        <is>
          <t>Nếu xuất hiện Chờ QLRR → BUG</t>
        </is>
      </c>
    </row>
    <row r="11">
      <c r="A11" s="14" t="n">
        <v>10</v>
      </c>
      <c r="B11" s="15" t="inlineStr">
        <is>
          <t>GT-GV-010</t>
        </is>
      </c>
      <c r="C11" s="15" t="inlineStr">
        <is>
          <t>Hạch toán</t>
        </is>
      </c>
      <c r="D11" s="15" t="inlineStr">
        <is>
          <t>Trường Hạch toán (HTM/AFS/HFT) chỉ hiện khi mua</t>
        </is>
      </c>
      <c r="E11" s="15" t="inlineStr">
        <is>
          <t>Chiều = Bên mua</t>
        </is>
      </c>
      <c r="F11" s="15" t="inlineStr">
        <is>
          <t>1. Chọn Chiều = Bên mua → trường Hạch toán hiển thị
2. Đổi sang Bên bán → trường Hạch toán ẩn</t>
        </is>
      </c>
      <c r="G11" s="15" t="inlineStr">
        <is>
          <t>Hạch toán hiển thị khi mua, ẩn khi bán.</t>
        </is>
      </c>
      <c r="H11" s="12" t="inlineStr">
        <is>
          <t>Happy</t>
        </is>
      </c>
      <c r="I11" s="16" t="inlineStr">
        <is>
          <t>High</t>
        </is>
      </c>
      <c r="J11" s="15" t="inlineStr"/>
    </row>
    <row r="12">
      <c r="A12" s="10" t="n">
        <v>11</v>
      </c>
      <c r="B12" s="11" t="inlineStr">
        <is>
          <t>GT-GV-011</t>
        </is>
      </c>
      <c r="C12" s="11" t="inlineStr">
        <is>
          <t>Hạch toán</t>
        </is>
      </c>
      <c r="D12" s="11" t="inlineStr">
        <is>
          <t>Bên bán không cần chọn Hạch toán</t>
        </is>
      </c>
      <c r="E12" s="11" t="inlineStr">
        <is>
          <t>Chiều = Bên bán</t>
        </is>
      </c>
      <c r="F12" s="11" t="inlineStr">
        <is>
          <t>1. Chiều = Bên bán
2. Kiểm tra trường Hạch toán</t>
        </is>
      </c>
      <c r="G12" s="11" t="inlineStr">
        <is>
          <t>Trường Hạch toán không hiển thị. Không bắt buộc.</t>
        </is>
      </c>
      <c r="H12" s="12" t="inlineStr">
        <is>
          <t>Happy</t>
        </is>
      </c>
      <c r="I12" s="17" t="inlineStr">
        <is>
          <t>Medium</t>
        </is>
      </c>
      <c r="J12" s="11" t="inlineStr"/>
    </row>
    <row r="13">
      <c r="A13" s="14" t="n">
        <v>12</v>
      </c>
      <c r="B13" s="15" t="inlineStr">
        <is>
          <t>GT-GV-012</t>
        </is>
      </c>
      <c r="C13" s="15" t="inlineStr">
        <is>
          <t>Định dạng</t>
        </is>
      </c>
      <c r="D13" s="15" t="inlineStr">
        <is>
          <t>GTCG dùng VN format (dấu . ngăn nghìn, dấu , thập phân)</t>
        </is>
      </c>
      <c r="E13" s="15" t="inlineStr">
        <is>
          <t>SL = 1.000.000; Giá = 120.160</t>
        </is>
      </c>
      <c r="F13" s="15" t="inlineStr">
        <is>
          <t>1. Nhập SL = 1000000
2. Kiểm tra hiển thị</t>
        </is>
      </c>
      <c r="G13" s="15" t="inlineStr">
        <is>
          <t>Hiển thị: 1.000.000 (dấu . ngăn nghìn)
Lãi suất: 2,51% (dấu , thập phân)
KHÔNG dùng format quốc tế</t>
        </is>
      </c>
      <c r="H13" s="18" t="inlineStr">
        <is>
          <t>Edge</t>
        </is>
      </c>
      <c r="I13" s="16" t="inlineStr">
        <is>
          <t>High</t>
        </is>
      </c>
      <c r="J13" s="15" t="inlineStr">
        <is>
          <t>BRD v3: GTCG dùng VN format, khác FX/MM</t>
        </is>
      </c>
    </row>
    <row r="14">
      <c r="A14" s="10" t="n">
        <v>13</v>
      </c>
      <c r="B14" s="11" t="inlineStr">
        <is>
          <t>GT-GV-013</t>
        </is>
      </c>
      <c r="C14" s="11" t="inlineStr">
        <is>
          <t>Ràng buộc</t>
        </is>
      </c>
      <c r="D14" s="11" t="inlineStr">
        <is>
          <t>Số lượng phải là số nguyên (không thập phân)</t>
        </is>
      </c>
      <c r="E14" s="11" t="inlineStr">
        <is>
          <t>SL = 1.000.000,5 (có thập phân)</t>
        </is>
      </c>
      <c r="F14" s="11" t="inlineStr">
        <is>
          <t>1. Nhập SL = 1000000.5
2. Lưu</t>
        </is>
      </c>
      <c r="G14" s="11" t="inlineStr">
        <is>
          <t>Hệ thống CHẶN: Số lượng phải là số nguyên, không cho phép thập phân</t>
        </is>
      </c>
      <c r="H14" s="19" t="inlineStr">
        <is>
          <t>Negative</t>
        </is>
      </c>
      <c r="I14" s="16" t="inlineStr">
        <is>
          <t>High</t>
        </is>
      </c>
      <c r="J14" s="11" t="inlineStr"/>
    </row>
    <row r="15">
      <c r="A15" s="14" t="n">
        <v>14</v>
      </c>
      <c r="B15" s="15" t="inlineStr">
        <is>
          <t>GT-GV-014</t>
        </is>
      </c>
      <c r="C15" s="15" t="inlineStr">
        <is>
          <t>Ràng buộc</t>
        </is>
      </c>
      <c r="D15" s="15" t="inlineStr">
        <is>
          <t>Số lượng = 0 → BLOCK</t>
        </is>
      </c>
      <c r="E15" s="15" t="inlineStr">
        <is>
          <t>SL = 0</t>
        </is>
      </c>
      <c r="F15" s="15" t="inlineStr">
        <is>
          <t>1. Nhập SL = 0
2. Lưu</t>
        </is>
      </c>
      <c r="G15" s="15" t="inlineStr">
        <is>
          <t>Hệ thống CHẶN: Số lượng phải &gt; 0</t>
        </is>
      </c>
      <c r="H15" s="19" t="inlineStr">
        <is>
          <t>Negative</t>
        </is>
      </c>
      <c r="I15" s="16" t="inlineStr">
        <is>
          <t>High</t>
        </is>
      </c>
      <c r="J15" s="15" t="inlineStr"/>
    </row>
    <row r="16">
      <c r="A16" s="10" t="n">
        <v>15</v>
      </c>
      <c r="B16" s="11" t="inlineStr">
        <is>
          <t>GT-GV-015</t>
        </is>
      </c>
      <c r="C16" s="11" t="inlineStr">
        <is>
          <t>Ràng buộc</t>
        </is>
      </c>
      <c r="D16" s="11" t="inlineStr">
        <is>
          <t>Số lượng âm → BLOCK</t>
        </is>
      </c>
      <c r="E16" s="11" t="inlineStr">
        <is>
          <t>SL = -100</t>
        </is>
      </c>
      <c r="F16" s="11" t="inlineStr">
        <is>
          <t>1. Nhập SL = -100
2. Lưu</t>
        </is>
      </c>
      <c r="G16" s="11" t="inlineStr">
        <is>
          <t>Hệ thống CHẶN: Không cho phép số lượng âm</t>
        </is>
      </c>
      <c r="H16" s="19" t="inlineStr">
        <is>
          <t>Negative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GT-GV-016</t>
        </is>
      </c>
      <c r="C17" s="15" t="inlineStr">
        <is>
          <t>Ngày tháng</t>
        </is>
      </c>
      <c r="D17" s="15" t="inlineStr">
        <is>
          <t>Kỳ hạn còn lại = 0 khi Ngày TT = Ngày đáo hạn</t>
        </is>
      </c>
      <c r="E17" s="15" t="inlineStr">
        <is>
          <t>Ngày đáo hạn = 13/03/2026; Ngày TT = 13/03/2026</t>
        </is>
      </c>
      <c r="F17" s="15" t="inlineStr">
        <is>
          <t>1. Chọn TP có đáo hạn = ngày TT
2. Kiểm tra Kỳ hạn</t>
        </is>
      </c>
      <c r="G17" s="15" t="inlineStr">
        <is>
          <t>Kỳ hạn còn lại = 0 ngày. Hệ thống hiển thị đúng.</t>
        </is>
      </c>
      <c r="H17" s="18" t="inlineStr">
        <is>
          <t>Edge</t>
        </is>
      </c>
      <c r="I17" s="17" t="inlineStr">
        <is>
          <t>Medium</t>
        </is>
      </c>
      <c r="J17" s="15" t="inlineStr"/>
    </row>
    <row r="18">
      <c r="A18" s="10" t="n">
        <v>17</v>
      </c>
      <c r="B18" s="11" t="inlineStr">
        <is>
          <t>GT-GV-017</t>
        </is>
      </c>
      <c r="C18" s="11" t="inlineStr">
        <is>
          <t>Ngày tháng</t>
        </is>
      </c>
      <c r="D18" s="11" t="inlineStr">
        <is>
          <t>Kỳ hạn còn lại âm (Ngày TT &gt; Ngày đáo hạn)</t>
        </is>
      </c>
      <c r="E18" s="11" t="inlineStr">
        <is>
          <t>Ngày đáo hạn = 12/03/2026; Ngày TT = 15/03/2026</t>
        </is>
      </c>
      <c r="F18" s="11" t="inlineStr">
        <is>
          <t>1. Chọn TP đã quá đáo hạn
2. Kiểm tra</t>
        </is>
      </c>
      <c r="G18" s="11" t="inlineStr">
        <is>
          <t>Hệ thống CẢNH BÁO: Trái phiếu đã qua ngày đáo hạn. Kỳ hạn còn lại = -3 ngày.</t>
        </is>
      </c>
      <c r="H18" s="18" t="inlineStr">
        <is>
          <t>Edge</t>
        </is>
      </c>
      <c r="I18" s="16" t="inlineStr">
        <is>
          <t>High</t>
        </is>
      </c>
      <c r="J18" s="11" t="inlineStr">
        <is>
          <t>Trái phiếu hết hạn</t>
        </is>
      </c>
    </row>
    <row r="19">
      <c r="A19" s="14" t="n">
        <v>18</v>
      </c>
      <c r="B19" s="15" t="inlineStr">
        <is>
          <t>GT-GV-018</t>
        </is>
      </c>
      <c r="C19" s="15" t="inlineStr">
        <is>
          <t>Trường tìm kiếm</t>
        </is>
      </c>
      <c r="D19" s="15" t="inlineStr">
        <is>
          <t>Dropdown Mã TP có tìm kiếm gợi ý</t>
        </is>
      </c>
      <c r="E19" s="15" t="inlineStr">
        <is>
          <t>Danh mục có nhiều TP bắt đầu bằng 'TD'</t>
        </is>
      </c>
      <c r="F19" s="15" t="inlineStr">
        <is>
          <t>1. Nhập 'TD' vào trường Mã TP
2. Kiểm tra gợi ý</t>
        </is>
      </c>
      <c r="G19" s="15" t="inlineStr">
        <is>
          <t>Hệ thống hiển thị danh sách gợi ý các TP bắt đầu bằng 'TD'</t>
        </is>
      </c>
      <c r="H19" s="12" t="inlineStr">
        <is>
          <t>Happy</t>
        </is>
      </c>
      <c r="I19" s="17" t="inlineStr">
        <is>
          <t>Medium</t>
        </is>
      </c>
      <c r="J19" s="15" t="inlineStr"/>
    </row>
    <row r="20">
      <c r="A20" s="10" t="n">
        <v>19</v>
      </c>
      <c r="B20" s="11" t="inlineStr">
        <is>
          <t>GT-GV-019</t>
        </is>
      </c>
      <c r="C20" s="11" t="inlineStr">
        <is>
          <t>Xác nhận GD</t>
        </is>
      </c>
      <c r="D20" s="11" t="inlineStr">
        <is>
          <t>Chọn Xác nhận = 'Khác' → cho phép nhập text</t>
        </is>
      </c>
      <c r="E20" s="11" t="inlineStr">
        <is>
          <t>Xác nhận GD = Khác</t>
        </is>
      </c>
      <c r="F20" s="11" t="inlineStr">
        <is>
          <t>1. Chọn 'Khác'
2. Nhập text 'Bloomberg chat'</t>
        </is>
      </c>
      <c r="G20" s="11" t="inlineStr">
        <is>
          <t>Cho phép nhập text tự do khi chọn 'Khác'</t>
        </is>
      </c>
      <c r="H20" s="12" t="inlineStr">
        <is>
          <t>Happy</t>
        </is>
      </c>
      <c r="I20" s="20" t="inlineStr">
        <is>
          <t>Low</t>
        </is>
      </c>
      <c r="J20" s="11" t="inlineStr"/>
    </row>
    <row r="21">
      <c r="A21" s="14" t="n">
        <v>20</v>
      </c>
      <c r="B21" s="15" t="inlineStr">
        <is>
          <t>GT-GV-020</t>
        </is>
      </c>
      <c r="C21" s="15" t="inlineStr">
        <is>
          <t>Loại GD</t>
        </is>
      </c>
      <c r="D21" s="15" t="inlineStr">
        <is>
          <t>Chọn Loại GD = 'Other' → cho phép nhập tay</t>
        </is>
      </c>
      <c r="E21" s="15" t="inlineStr">
        <is>
          <t>Loại GD = Other</t>
        </is>
      </c>
      <c r="F21" s="15" t="inlineStr">
        <is>
          <t>1. Chọn Other
2. Nhập tay 'Mua lại'</t>
        </is>
      </c>
      <c r="G21" s="15" t="inlineStr">
        <is>
          <t>Cho phép nhập text khi chọn Other</t>
        </is>
      </c>
      <c r="H21" s="12" t="inlineStr">
        <is>
          <t>Happy</t>
        </is>
      </c>
      <c r="I21" s="20" t="inlineStr">
        <is>
          <t>Low</t>
        </is>
      </c>
      <c r="J21" s="15" t="inlineStr"/>
    </row>
    <row r="22">
      <c r="A22" s="10" t="n">
        <v>21</v>
      </c>
      <c r="B22" s="11" t="inlineStr">
        <is>
          <t>GT-GV-021</t>
        </is>
      </c>
      <c r="C22" s="11" t="inlineStr">
        <is>
          <t>Ghi chú</t>
        </is>
      </c>
      <c r="D22" s="11" t="inlineStr">
        <is>
          <t>Bên bán: Ghi chú ngày mua và giá mua cho P.KTTC</t>
        </is>
      </c>
      <c r="E22" s="11" t="inlineStr">
        <is>
          <t>Chiều = Bên bán</t>
        </is>
      </c>
      <c r="F22" s="11" t="inlineStr">
        <is>
          <t>1. Nhập Ghi chú = 'Ngày mua: 12/03/2026, Giá mua: 102.260 VND/TP'
2. Lưu</t>
        </is>
      </c>
      <c r="G22" s="11" t="inlineStr">
        <is>
          <t>Ghi chú hiển thị đúng cho P.KTTC tham khảo</t>
        </is>
      </c>
      <c r="H22" s="12" t="inlineStr">
        <is>
          <t>Happy</t>
        </is>
      </c>
      <c r="I22" s="17" t="inlineStr">
        <is>
          <t>Medium</t>
        </is>
      </c>
      <c r="J22" s="11" t="inlineStr">
        <is>
          <t>BRD yêu cầu ghi chú giá mua khi bán</t>
        </is>
      </c>
    </row>
    <row r="23">
      <c r="A23" s="14" t="n">
        <v>22</v>
      </c>
      <c r="B23" s="15" t="inlineStr">
        <is>
          <t>GT-GV-022</t>
        </is>
      </c>
      <c r="C23" s="15" t="inlineStr">
        <is>
          <t>Mã GD</t>
        </is>
      </c>
      <c r="D23" s="15" t="inlineStr">
        <is>
          <t>Mã giao dịch Govi Bond tự sinh format Gxxxxxxxxxx</t>
        </is>
      </c>
      <c r="E23" s="15" t="inlineStr">
        <is>
          <t>Tạo GD Govi Bond thành công</t>
        </is>
      </c>
      <c r="F23" s="15" t="inlineStr">
        <is>
          <t>1. Tạo GD Govi Bond
2. Kiểm tra mã GD trên danh sách</t>
        </is>
      </c>
      <c r="G23" s="15" t="inlineStr">
        <is>
          <t>Mã GD bắt đầu bằng 'G', VD: G0000000001</t>
        </is>
      </c>
      <c r="H23" s="12" t="inlineStr">
        <is>
          <t>Happy</t>
        </is>
      </c>
      <c r="I23" s="17" t="inlineStr">
        <is>
          <t>Medium</t>
        </is>
      </c>
      <c r="J23" s="15" t="inlineStr"/>
    </row>
    <row r="24">
      <c r="A24" s="10" t="n">
        <v>23</v>
      </c>
      <c r="B24" s="11" t="inlineStr">
        <is>
          <t>GT-GV-023</t>
        </is>
      </c>
      <c r="C24" s="11" t="inlineStr">
        <is>
          <t>Ràng buộc</t>
        </is>
      </c>
      <c r="D24" s="11" t="inlineStr">
        <is>
          <t>Lãi suất chiết khấu: tối đa 4 chữ số thập phân</t>
        </is>
      </c>
      <c r="E24" s="11" t="inlineStr">
        <is>
          <t>LS chiết khấu = 2,56789% (5 decimal)</t>
        </is>
      </c>
      <c r="F24" s="11" t="inlineStr">
        <is>
          <t>1. Nhập LS chiết khấu = 2,56789%</t>
        </is>
      </c>
      <c r="G24" s="11" t="inlineStr">
        <is>
          <t>Hệ thống chỉ chấp nhận 4 decimal: 2,5678% hoặc CHẶN</t>
        </is>
      </c>
      <c r="H24" s="18" t="inlineStr">
        <is>
          <t>Edge</t>
        </is>
      </c>
      <c r="I24" s="17" t="inlineStr">
        <is>
          <t>Medium</t>
        </is>
      </c>
      <c r="J24" s="11" t="inlineStr"/>
    </row>
    <row r="25">
      <c r="A25" s="14" t="n">
        <v>24</v>
      </c>
      <c r="B25" s="15" t="inlineStr">
        <is>
          <t>GT-GV-024</t>
        </is>
      </c>
      <c r="C25" s="15" t="inlineStr">
        <is>
          <t>Đối tác</t>
        </is>
      </c>
      <c r="D25" s="15" t="inlineStr">
        <is>
          <t>Cho phép nhập bổ sung đối tác mới</t>
        </is>
      </c>
      <c r="E25" s="15" t="inlineStr">
        <is>
          <t>Đối tác mới chưa có trong dropdown</t>
        </is>
      </c>
      <c r="F25" s="15" t="inlineStr">
        <is>
          <t>1. Tại trường Đối tác, nhập tên đối tác mới
2. Kiểm tra</t>
        </is>
      </c>
      <c r="G25" s="15" t="inlineStr">
        <is>
          <t>Cho phép nhập đối tác mới (BRD: 'Cho phép nhập bổ sung đối tác mới')</t>
        </is>
      </c>
      <c r="H25" s="12" t="inlineStr">
        <is>
          <t>Happy</t>
        </is>
      </c>
      <c r="I25" s="17" t="inlineStr">
        <is>
          <t>Medium</t>
        </is>
      </c>
      <c r="J25" s="15" t="inlineStr"/>
    </row>
    <row r="26">
      <c r="A26" s="10" t="n">
        <v>25</v>
      </c>
      <c r="B26" s="11" t="inlineStr">
        <is>
          <t>GT-GV-025</t>
        </is>
      </c>
      <c r="C26" s="11" t="inlineStr">
        <is>
          <t>Luồng duyệt</t>
        </is>
      </c>
      <c r="D26" s="11" t="inlineStr">
        <is>
          <t>GĐ từ chối → Popup xác nhận → trạng thái Từ chối</t>
        </is>
      </c>
      <c r="E26" s="11" t="inlineStr">
        <is>
          <t>GD Govi Bond Chờ K.NV duyệt</t>
        </is>
      </c>
      <c r="F26" s="11" t="inlineStr">
        <is>
          <t>1. GĐ nhấn Từ chối
2. Popup hiện
3. Nhập lý do
4. Xác nhận</t>
        </is>
      </c>
      <c r="G26" s="11" t="inlineStr">
        <is>
          <t>GD = Từ chối. Notify CV K.NV.</t>
        </is>
      </c>
      <c r="H26" s="12" t="inlineStr">
        <is>
          <t>Happy</t>
        </is>
      </c>
      <c r="I26" s="13" t="inlineStr">
        <is>
          <t>Critical</t>
        </is>
      </c>
      <c r="J26" s="11" t="inlineStr"/>
    </row>
    <row r="27">
      <c r="A27" s="14" t="n">
        <v>26</v>
      </c>
      <c r="B27" s="15" t="inlineStr">
        <is>
          <t>GT-GV-026</t>
        </is>
      </c>
      <c r="C27" s="15" t="inlineStr">
        <is>
          <t>Luồng duyệt</t>
        </is>
      </c>
      <c r="D27" s="15" t="inlineStr">
        <is>
          <t>CV KTTC cấp 1 từ chối → Hủy giao dịch</t>
        </is>
      </c>
      <c r="E27" s="15" t="inlineStr">
        <is>
          <t>GD ở Chờ hạch toán</t>
        </is>
      </c>
      <c r="F27" s="15" t="inlineStr">
        <is>
          <t>1. CV KTTC từ chối
2. Popup → lý do → Xác nhận</t>
        </is>
      </c>
      <c r="G27" s="15" t="inlineStr">
        <is>
          <t>GD = Hủy giao dịch. Notify CV.</t>
        </is>
      </c>
      <c r="H27" s="12" t="inlineStr">
        <is>
          <t>Happy</t>
        </is>
      </c>
      <c r="I27" s="13" t="inlineStr">
        <is>
          <t>Critical</t>
        </is>
      </c>
      <c r="J27" s="15" t="inlineStr"/>
    </row>
    <row r="28">
      <c r="A28" s="10" t="n">
        <v>27</v>
      </c>
      <c r="B28" s="11" t="inlineStr">
        <is>
          <t>GT-GV-027</t>
        </is>
      </c>
      <c r="C28" s="11" t="inlineStr">
        <is>
          <t>Luồng duyệt</t>
        </is>
      </c>
      <c r="D28" s="11" t="inlineStr">
        <is>
          <t>LĐ KTTC cấp 2 từ chối → Hủy giao dịch</t>
        </is>
      </c>
      <c r="E28" s="11" t="inlineStr">
        <is>
          <t>GD ở Chờ LĐ KTTC duyệt</t>
        </is>
      </c>
      <c r="F28" s="11" t="inlineStr">
        <is>
          <t>1. LĐ KTTC từ chối
2. Popup → lý do → Xác nhận</t>
        </is>
      </c>
      <c r="G28" s="11" t="inlineStr">
        <is>
          <t>GD = Hủy giao dịch. Notify CV.</t>
        </is>
      </c>
      <c r="H28" s="12" t="inlineStr">
        <is>
          <t>Happy</t>
        </is>
      </c>
      <c r="I28" s="13" t="inlineStr">
        <is>
          <t>Critical</t>
        </is>
      </c>
      <c r="J28" s="11" t="inlineStr"/>
    </row>
    <row r="29">
      <c r="A29" s="14" t="n">
        <v>28</v>
      </c>
      <c r="B29" s="15" t="inlineStr">
        <is>
          <t>GT-GV-028</t>
        </is>
      </c>
      <c r="C29" s="15" t="inlineStr">
        <is>
          <t>Workflow</t>
        </is>
      </c>
      <c r="D29" s="15" t="inlineStr">
        <is>
          <t>CV sửa GD Govi Bond sau TP duyệt → BLOCK</t>
        </is>
      </c>
      <c r="E29" s="15" t="inlineStr">
        <is>
          <t>GD ở Chờ K.NV duyệt</t>
        </is>
      </c>
      <c r="F29" s="15" t="inlineStr">
        <is>
          <t>1. CV mở GD
2. Cố sửa SL</t>
        </is>
      </c>
      <c r="G29" s="15" t="inlineStr">
        <is>
          <t>Hệ thống CHẶN: Không cho sửa sau TP duyệt.</t>
        </is>
      </c>
      <c r="H29" s="19" t="inlineStr">
        <is>
          <t>Negative</t>
        </is>
      </c>
      <c r="I29" s="13" t="inlineStr">
        <is>
          <t>Critical</t>
        </is>
      </c>
      <c r="J29" s="15" t="inlineStr"/>
    </row>
    <row r="30">
      <c r="A30" s="10" t="n">
        <v>29</v>
      </c>
      <c r="B30" s="11" t="inlineStr">
        <is>
          <t>GT-GV-029</t>
        </is>
      </c>
      <c r="C30" s="11" t="inlineStr">
        <is>
          <t>Tổng giá trị</t>
        </is>
      </c>
      <c r="D30" s="11" t="inlineStr">
        <is>
          <t>Tổng giá trị với SL lớn (overflow check)</t>
        </is>
      </c>
      <c r="E30" s="11" t="inlineStr">
        <is>
          <t>SL = 10.000.000; Giá TT = 1.206.307.366</t>
        </is>
      </c>
      <c r="F30" s="11" t="inlineStr">
        <is>
          <t>1. Nhập SL = 10.000.000
2. Kiểm tra Tổng giá trị</t>
        </is>
      </c>
      <c r="G30" s="11" t="inlineStr">
        <is>
          <t>Tổng = 12.063.073.660.000.000 (hơn 12 nghìn tỷ). Không overflow.</t>
        </is>
      </c>
      <c r="H30" s="18" t="inlineStr">
        <is>
          <t>Edge</t>
        </is>
      </c>
      <c r="I30" s="16" t="inlineStr">
        <is>
          <t>High</t>
        </is>
      </c>
      <c r="J30" s="11" t="inlineStr"/>
    </row>
    <row r="31">
      <c r="A31" s="14" t="n">
        <v>30</v>
      </c>
      <c r="B31" s="15" t="inlineStr">
        <is>
          <t>GT-GV-030</t>
        </is>
      </c>
      <c r="C31" s="15" t="inlineStr">
        <is>
          <t>Repo GD</t>
        </is>
      </c>
      <c r="D31" s="15" t="inlineStr">
        <is>
          <t>Tạo GD Govi Bond Repo thành công</t>
        </is>
      </c>
      <c r="E31" s="15" t="inlineStr">
        <is>
          <t>Loại GD = Repo</t>
        </is>
      </c>
      <c r="F31" s="15" t="inlineStr">
        <is>
          <t>1. Chọn Repo
2. Điền đầy đủ
3. Lưu</t>
        </is>
      </c>
      <c r="G31" s="15" t="inlineStr">
        <is>
          <t>GD Repo tạo thành công</t>
        </is>
      </c>
      <c r="H31" s="12" t="inlineStr">
        <is>
          <t>Happy</t>
        </is>
      </c>
      <c r="I31" s="16" t="inlineStr">
        <is>
          <t>High</t>
        </is>
      </c>
      <c r="J31" s="15" t="inlineStr"/>
    </row>
    <row r="32">
      <c r="A32" s="14" t="n">
        <v>31</v>
      </c>
      <c r="B32" s="15" t="inlineStr">
        <is>
          <t>GT-GV-031</t>
        </is>
      </c>
      <c r="C32" s="15" t="inlineStr">
        <is>
          <t>Recall</t>
        </is>
      </c>
      <c r="D32" s="15" t="inlineStr">
        <is>
          <t>CV Recall GD Govi Bond khi Chờ K.NV duyệt → Open</t>
        </is>
      </c>
      <c r="E32" s="15" t="inlineStr">
        <is>
          <t>GD Govi Bond trạng thái Chờ K.NV duyệt</t>
        </is>
      </c>
      <c r="F32" s="15" t="inlineStr">
        <is>
          <t>1. CV mở GD
2. Nhấn Recall
3. Nhập lý do</t>
        </is>
      </c>
      <c r="G32" s="15" t="inlineStr">
        <is>
          <t>GD quay về Open, CV có thể chỉnh sửa. Audit trail ghi nhận.</t>
        </is>
      </c>
      <c r="H32" s="12" t="inlineStr">
        <is>
          <t>Happy</t>
        </is>
      </c>
      <c r="I32" s="16" t="inlineStr">
        <is>
          <t>Critical</t>
        </is>
      </c>
      <c r="J32" s="15" t="inlineStr">
        <is>
          <t>BRD §4.1.1</t>
        </is>
      </c>
    </row>
    <row r="33">
      <c r="A33" s="14" t="n">
        <v>32</v>
      </c>
      <c r="B33" s="15" t="inlineStr">
        <is>
          <t>GT-GV-032</t>
        </is>
      </c>
      <c r="C33" s="15" t="inlineStr">
        <is>
          <t>Recall</t>
        </is>
      </c>
      <c r="D33" s="15" t="inlineStr">
        <is>
          <t>TP Recall GD Govi Bond khi Chờ K.NV duyệt → quay về TP</t>
        </is>
      </c>
      <c r="E33" s="15" t="inlineStr">
        <is>
          <t>GD Govi Bond trạng thái Chờ K.NV duyệt</t>
        </is>
      </c>
      <c r="F33" s="15" t="inlineStr">
        <is>
          <t>1. TP mở GD
2. Nhấn Recall
3. Nhập lý do</t>
        </is>
      </c>
      <c r="G33" s="15" t="inlineStr">
        <is>
          <t>GD quay về bước TP review lại. Audit trail ghi nhận.</t>
        </is>
      </c>
      <c r="H33" s="12" t="inlineStr">
        <is>
          <t>Happy</t>
        </is>
      </c>
      <c r="I33" s="16" t="inlineStr">
        <is>
          <t>Critical</t>
        </is>
      </c>
      <c r="J33" s="15" t="inlineStr">
        <is>
          <t>BRD §4.1.2</t>
        </is>
      </c>
    </row>
    <row r="34">
      <c r="A34" s="14" t="n">
        <v>33</v>
      </c>
      <c r="B34" s="15" t="inlineStr">
        <is>
          <t>GT-GV-033</t>
        </is>
      </c>
      <c r="C34" s="15" t="inlineStr">
        <is>
          <t>Recall</t>
        </is>
      </c>
      <c r="D34" s="15" t="inlineStr">
        <is>
          <t>Recall Govi Bond không nhập lý do → BLOCK</t>
        </is>
      </c>
      <c r="E34" s="15" t="inlineStr">
        <is>
          <t>GD Govi Bond trạng thái Chờ K.NV duyệt</t>
        </is>
      </c>
      <c r="F34" s="15" t="inlineStr">
        <is>
          <t>1. CV nhấn Recall
2. Không nhập lý do
3. Nhấn Xác nhận</t>
        </is>
      </c>
      <c r="G34" s="15" t="inlineStr">
        <is>
          <t>Hệ thống báo lỗi: lý do bắt buộc. GD không thay đổi.</t>
        </is>
      </c>
      <c r="H34" s="12" t="inlineStr">
        <is>
          <t>Negative</t>
        </is>
      </c>
      <c r="I34" s="16" t="inlineStr">
        <is>
          <t>High</t>
        </is>
      </c>
      <c r="J34" s="15" t="inlineStr">
        <is>
          <t>BRD §4.1</t>
        </is>
      </c>
    </row>
    <row r="35">
      <c r="A35" s="14" t="n">
        <v>34</v>
      </c>
      <c r="B35" s="15" t="inlineStr">
        <is>
          <t>GT-GV-034</t>
        </is>
      </c>
      <c r="C35" s="15" t="inlineStr">
        <is>
          <t>Cancel</t>
        </is>
      </c>
      <c r="D35" s="15" t="inlineStr">
        <is>
          <t>Cancel GD Govi Bond Hoàn thành — luồng 2 cấp: CV → TP → GĐ</t>
        </is>
      </c>
      <c r="E35" s="15" t="inlineStr">
        <is>
          <t>GD Govi Bond Hoàn thành</t>
        </is>
      </c>
      <c r="F35" s="15" t="inlineStr">
        <is>
          <t>1. CV nhấn Hủy, nhập lý do
2. TP duyệt hủy cấp 1
3. GĐ duyệt hủy cấp 2</t>
        </is>
      </c>
      <c r="G35" s="15" t="inlineStr">
        <is>
          <t>GD chuyển Đã hủy. Email gửi P.KTTC. GD vẫn hiển thị (mặc định ẩn).</t>
        </is>
      </c>
      <c r="H35" s="12" t="inlineStr">
        <is>
          <t>Happy</t>
        </is>
      </c>
      <c r="I35" s="16" t="inlineStr">
        <is>
          <t>Critical</t>
        </is>
      </c>
      <c r="J35" s="15" t="inlineStr">
        <is>
          <t>BRD v3 §4.2 — cancel 2 cấp</t>
        </is>
      </c>
    </row>
    <row r="36">
      <c r="A36" s="14" t="n">
        <v>35</v>
      </c>
      <c r="B36" s="15" t="inlineStr">
        <is>
          <t>GT-GV-035</t>
        </is>
      </c>
      <c r="C36" s="15" t="inlineStr">
        <is>
          <t>Cancel</t>
        </is>
      </c>
      <c r="D36" s="15" t="inlineStr">
        <is>
          <t>TP từ chối hủy Govi Bond cấp 1 → GD giữ nguyên</t>
        </is>
      </c>
      <c r="E36" s="15" t="inlineStr">
        <is>
          <t>GD Govi Bond chờ TP duyệt hủy</t>
        </is>
      </c>
      <c r="F36" s="15" t="inlineStr">
        <is>
          <t>1. TP nhấn Từ chối hủy</t>
        </is>
      </c>
      <c r="G36" s="15" t="inlineStr">
        <is>
          <t>GD giữ nguyên trạng thái Hoàn thành (trước khi yêu cầu hủy)</t>
        </is>
      </c>
      <c r="H36" s="12" t="inlineStr">
        <is>
          <t>Happy</t>
        </is>
      </c>
      <c r="I36" s="16" t="inlineStr">
        <is>
          <t>High</t>
        </is>
      </c>
      <c r="J36" s="15" t="inlineStr">
        <is>
          <t>BRD v3 §4.2</t>
        </is>
      </c>
    </row>
    <row r="37">
      <c r="A37" s="14" t="n">
        <v>36</v>
      </c>
      <c r="B37" s="15" t="inlineStr">
        <is>
          <t>GT-GV-036</t>
        </is>
      </c>
      <c r="C37" s="15" t="inlineStr">
        <is>
          <t>Cancel</t>
        </is>
      </c>
      <c r="D37" s="15" t="inlineStr">
        <is>
          <t>GĐ từ chối hủy Govi Bond cấp 2 → GD giữ nguyên</t>
        </is>
      </c>
      <c r="E37" s="15" t="inlineStr">
        <is>
          <t>GD Govi Bond chờ GĐ duyệt hủy</t>
        </is>
      </c>
      <c r="F37" s="15" t="inlineStr">
        <is>
          <t>1. GĐ nhấn Từ chối hủy</t>
        </is>
      </c>
      <c r="G37" s="15" t="inlineStr">
        <is>
          <t>GD giữ nguyên trạng thái Hoàn thành</t>
        </is>
      </c>
      <c r="H37" s="12" t="inlineStr">
        <is>
          <t>Happy</t>
        </is>
      </c>
      <c r="I37" s="16" t="inlineStr">
        <is>
          <t>High</t>
        </is>
      </c>
      <c r="J37" s="15" t="inlineStr">
        <is>
          <t>BRD v3 §4.2</t>
        </is>
      </c>
    </row>
    <row r="38">
      <c r="A38" s="14" t="n">
        <v>37</v>
      </c>
      <c r="B38" s="15" t="inlineStr">
        <is>
          <t>GT-GV-037</t>
        </is>
      </c>
      <c r="C38" s="15" t="inlineStr">
        <is>
          <t>Clone</t>
        </is>
      </c>
      <c r="D38" s="15" t="inlineStr">
        <is>
          <t>Clone GD Govi Bond bị Từ chối → GD mới Open</t>
        </is>
      </c>
      <c r="E38" s="15" t="inlineStr">
        <is>
          <t>GD Govi Bond trạng thái Từ chối</t>
        </is>
      </c>
      <c r="F38" s="15" t="inlineStr">
        <is>
          <t>1. CV mở GD bị Từ chối
2. Nhấn Clone</t>
        </is>
      </c>
      <c r="G38" s="15" t="inlineStr">
        <is>
          <t>GD mới Open, copy: đối tác, mã TP, SL, giá, ghi chú. ID mới.</t>
        </is>
      </c>
      <c r="H38" s="12" t="inlineStr">
        <is>
          <t>Happy</t>
        </is>
      </c>
      <c r="I38" s="16" t="inlineStr">
        <is>
          <t>Critical</t>
        </is>
      </c>
      <c r="J38" s="15" t="inlineStr">
        <is>
          <t>BRD §4.3</t>
        </is>
      </c>
    </row>
    <row r="39">
      <c r="A39" s="14" t="n">
        <v>38</v>
      </c>
      <c r="B39" s="15" t="inlineStr">
        <is>
          <t>GT-GV-038</t>
        </is>
      </c>
      <c r="C39" s="15" t="inlineStr">
        <is>
          <t>Clone</t>
        </is>
      </c>
      <c r="D39" s="15" t="inlineStr">
        <is>
          <t>Clone GD Govi Bond bị Hủy giao dịch (KTTC reject)</t>
        </is>
      </c>
      <c r="E39" s="15" t="inlineStr">
        <is>
          <t>GD Govi Bond trạng thái Hủy giao dịch</t>
        </is>
      </c>
      <c r="F39" s="15" t="inlineStr">
        <is>
          <t>1. CV mở GD bị Hủy giao dịch
2. Nhấn Clone</t>
        </is>
      </c>
      <c r="G39" s="15" t="inlineStr">
        <is>
          <t>GD mới Open, dữ liệu copy đầy đủ</t>
        </is>
      </c>
      <c r="H39" s="12" t="inlineStr">
        <is>
          <t>Happy</t>
        </is>
      </c>
      <c r="I39" s="16" t="inlineStr">
        <is>
          <t>Critical</t>
        </is>
      </c>
      <c r="J39" s="15" t="inlineStr">
        <is>
          <t>BRD §4.3</t>
        </is>
      </c>
    </row>
    <row r="40">
      <c r="A40" s="14" t="n">
        <v>39</v>
      </c>
      <c r="B40" s="15" t="inlineStr">
        <is>
          <t>GT-GV-039</t>
        </is>
      </c>
      <c r="C40" s="15" t="inlineStr">
        <is>
          <t>Tồn kho</t>
        </is>
      </c>
      <c r="D40" s="15" t="inlineStr">
        <is>
          <t>Inventory giảm khi deal MUA Govi Bond Hoàn thành</t>
        </is>
      </c>
      <c r="E40" s="15" t="inlineStr">
        <is>
          <t>GD Govi Bond MUA, hoàn thành</t>
        </is>
      </c>
      <c r="F40" s="15" t="inlineStr">
        <is>
          <t>1. GD MUA Govi Bond hoàn thành
2. Kiểm tra tồn kho</t>
        </is>
      </c>
      <c r="G40" s="15" t="inlineStr">
        <is>
          <t>Tồn kho tăng = Số lượng mua. Ghi nhận theo portfolio_type.</t>
        </is>
      </c>
      <c r="H40" s="12" t="inlineStr">
        <is>
          <t>Happy</t>
        </is>
      </c>
      <c r="I40" s="16" t="inlineStr">
        <is>
          <t>Critical</t>
        </is>
      </c>
      <c r="J40" s="15" t="inlineStr">
        <is>
          <t>Inventory logic</t>
        </is>
      </c>
    </row>
    <row r="41">
      <c r="A41" s="14" t="n">
        <v>40</v>
      </c>
      <c r="B41" s="15" t="inlineStr">
        <is>
          <t>GT-GV-040</t>
        </is>
      </c>
      <c r="C41" s="15" t="inlineStr">
        <is>
          <t>Tồn kho</t>
        </is>
      </c>
      <c r="D41" s="15" t="inlineStr">
        <is>
          <t>Inventory giảm khi deal BÁN Govi Bond Hoàn thành</t>
        </is>
      </c>
      <c r="E41" s="15" t="inlineStr">
        <is>
          <t>GD Govi Bond BÁN, hoàn thành</t>
        </is>
      </c>
      <c r="F41" s="15" t="inlineStr">
        <is>
          <t>1. GD BÁN Govi Bond hoàn thành
2. Kiểm tra tồn kho</t>
        </is>
      </c>
      <c r="G41" s="15" t="inlineStr">
        <is>
          <t>Tồn kho giảm = Số lượng bán. Không âm (đã block ở bước tạo).</t>
        </is>
      </c>
      <c r="H41" s="12" t="inlineStr">
        <is>
          <t>Happy</t>
        </is>
      </c>
      <c r="I41" s="16" t="inlineStr">
        <is>
          <t>Critical</t>
        </is>
      </c>
      <c r="J41" s="15" t="inlineStr">
        <is>
          <t>Inventory logic + optimistic locking</t>
        </is>
      </c>
    </row>
    <row r="42">
      <c r="A42" s="14" t="n">
        <v>41</v>
      </c>
      <c r="B42" s="15" t="inlineStr">
        <is>
          <t>GT-GV-041</t>
        </is>
      </c>
      <c r="C42" s="15" t="inlineStr">
        <is>
          <t>Định dạng</t>
        </is>
      </c>
      <c r="D42" s="15" t="inlineStr">
        <is>
          <t>Tất cả trường tiền GTCG dùng VN format: dấu . nghìn, dấu , thập phân</t>
        </is>
      </c>
      <c r="E42" s="15" t="inlineStr">
        <is>
          <t>Số lượng = 1000000, Mệnh giá = 100000, Giá TT = 1206307366</t>
        </is>
      </c>
      <c r="F42" s="15" t="inlineStr">
        <is>
          <t>1. Nhập dữ liệu
2. Kiểm tra hiển thị</t>
        </is>
      </c>
      <c r="G42" s="15" t="inlineStr">
        <is>
          <t>SL: 1.000.000 | MG: 100.000 | Giá TT: 1.206.307.366</t>
        </is>
      </c>
      <c r="H42" s="12" t="inlineStr">
        <is>
          <t>Edge</t>
        </is>
      </c>
      <c r="I42" s="16" t="inlineStr">
        <is>
          <t>High</t>
        </is>
      </c>
      <c r="J42" s="15" t="inlineStr">
        <is>
          <t>BRD §1.4 — GTCG dùng VN format</t>
        </is>
      </c>
    </row>
    <row r="43">
      <c r="A43" s="14" t="n">
        <v>42</v>
      </c>
      <c r="B43" s="15" t="inlineStr">
        <is>
          <t>GT-GV-042</t>
        </is>
      </c>
      <c r="C43" s="15" t="inlineStr">
        <is>
          <t>Định dạng</t>
        </is>
      </c>
      <c r="D43" s="15" t="inlineStr">
        <is>
          <t>Lãi suất coupon Govi Bond: dấu , thập phân, tối đa 2 decimal</t>
        </is>
      </c>
      <c r="E43" s="15" t="inlineStr">
        <is>
          <t>Coupon rate = 2.51 (từ catalog)</t>
        </is>
      </c>
      <c r="F43" s="15" t="inlineStr">
        <is>
          <t>1. Chọn trái phiếu
2. Kiểm tra hiển thị lãi suất</t>
        </is>
      </c>
      <c r="G43" s="15" t="inlineStr">
        <is>
          <t>Hiển thị: 2,51% (dấu phẩy, 2 decimal)</t>
        </is>
      </c>
      <c r="H43" s="12" t="inlineStr">
        <is>
          <t>Edge</t>
        </is>
      </c>
      <c r="I43" s="16" t="inlineStr">
        <is>
          <t>Medium</t>
        </is>
      </c>
      <c r="J43" s="15" t="inlineStr">
        <is>
          <t>BRD §3.2.1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GT-FI-001</t>
        </is>
      </c>
      <c r="C2" s="11" t="inlineStr">
        <is>
          <t>Tạo GD FI Bond</t>
        </is>
      </c>
      <c r="D2" s="11" t="inlineStr">
        <is>
          <t>Tạo giao dịch FI Bond mua Outright thành công</t>
        </is>
      </c>
      <c r="E2" s="11" t="inlineStr">
        <is>
          <t>CV K.NV; Loại GTCG = FI Bond</t>
        </is>
      </c>
      <c r="F2" s="11" t="inlineStr">
        <is>
          <t>1. Loại GTCG = FI Bond
2. Chiều = Bên mua
3. Đối tác = MSB
4. Loại GD = Outright
5. Nhập đầy đủ SL, Mệnh giá, Giá sạch, Giá TT
6. Hạch toán = AFS
7. Lưu</t>
        </is>
      </c>
      <c r="G2" s="11" t="inlineStr">
        <is>
          <t>GD tạo thành công. Format VN (dấu . ngăn nghìn).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GT-FI-002</t>
        </is>
      </c>
      <c r="C3" s="15" t="inlineStr">
        <is>
          <t>Tạo GD CCTG</t>
        </is>
      </c>
      <c r="D3" s="15" t="inlineStr">
        <is>
          <t>Tạo giao dịch CCTG mua thành công</t>
        </is>
      </c>
      <c r="E3" s="15" t="inlineStr">
        <is>
          <t>Loại GTCG = CCTG</t>
        </is>
      </c>
      <c r="F3" s="15" t="inlineStr">
        <is>
          <t>1. Loại GTCG = CCTG
2. Chiều = Bên mua
3. Điền đầy đủ
4. Lưu</t>
        </is>
      </c>
      <c r="G3" s="15" t="inlineStr">
        <is>
          <t>GD CCTG tạo thành công. Mã GD: Fxxxxxxxxxx (FI Bond) hoặc format tương ứng.</t>
        </is>
      </c>
      <c r="H3" s="12" t="inlineStr">
        <is>
          <t>Happy</t>
        </is>
      </c>
      <c r="I3" s="13" t="inlineStr">
        <is>
          <t>Critical</t>
        </is>
      </c>
      <c r="J3" s="15" t="inlineStr"/>
    </row>
    <row r="4">
      <c r="A4" s="10" t="n">
        <v>3</v>
      </c>
      <c r="B4" s="11" t="inlineStr">
        <is>
          <t>GT-FI-003</t>
        </is>
      </c>
      <c r="C4" s="11" t="inlineStr">
        <is>
          <t>Công thức</t>
        </is>
      </c>
      <c r="D4" s="11" t="inlineStr">
        <is>
          <t>Tổng giá trị = Số lượng × Giá thanh toán (FI Bond)</t>
        </is>
      </c>
      <c r="E4" s="11" t="inlineStr">
        <is>
          <t>SL = 200.000; Giá TT = 150.250</t>
        </is>
      </c>
      <c r="F4" s="11" t="inlineStr">
        <is>
          <t>1. Nhập SL và Giá TT
2. Kiểm tra</t>
        </is>
      </c>
      <c r="G4" s="11" t="inlineStr">
        <is>
          <t>Tổng giá trị = 200.000 × 150.250 = 30.050.000.000</t>
        </is>
      </c>
      <c r="H4" s="12" t="inlineStr">
        <is>
          <t>Happy</t>
        </is>
      </c>
      <c r="I4" s="13" t="inlineStr">
        <is>
          <t>Critical</t>
        </is>
      </c>
      <c r="J4" s="11" t="inlineStr"/>
    </row>
    <row r="5">
      <c r="A5" s="14" t="n">
        <v>4</v>
      </c>
      <c r="B5" s="15" t="inlineStr">
        <is>
          <t>GT-FI-004</t>
        </is>
      </c>
      <c r="C5" s="15" t="inlineStr">
        <is>
          <t>Công thức</t>
        </is>
      </c>
      <c r="D5" s="15" t="inlineStr">
        <is>
          <t>Kỳ hạn còn lại FI Bond = Ngày đáo hạn - Ngày TT</t>
        </is>
      </c>
      <c r="E5" s="15" t="inlineStr">
        <is>
          <t>Ngày đáo hạn = 11/03/2027; Ngày TT = 14/04/2026</t>
        </is>
      </c>
      <c r="F5" s="15" t="inlineStr">
        <is>
          <t>1. Kiểm tra Kỳ hạn còn lại</t>
        </is>
      </c>
      <c r="G5" s="15" t="inlineStr">
        <is>
          <t>Kỳ hạn = 331 ngày</t>
        </is>
      </c>
      <c r="H5" s="12" t="inlineStr">
        <is>
          <t>Happy</t>
        </is>
      </c>
      <c r="I5" s="16" t="inlineStr">
        <is>
          <t>High</t>
        </is>
      </c>
      <c r="J5" s="15" t="inlineStr"/>
    </row>
    <row r="6">
      <c r="A6" s="10" t="n">
        <v>5</v>
      </c>
      <c r="B6" s="11" t="inlineStr">
        <is>
          <t>GT-FI-005</t>
        </is>
      </c>
      <c r="C6" s="11" t="inlineStr">
        <is>
          <t>Tồn kho</t>
        </is>
      </c>
      <c r="D6" s="11" t="inlineStr">
        <is>
          <t>FI Bond bán vượt tồn kho → BLOCK</t>
        </is>
      </c>
      <c r="E6" s="11" t="inlineStr">
        <is>
          <t>Tồn kho Mã GTCG = 50.000; SL bán = 60.000</t>
        </is>
      </c>
      <c r="F6" s="11" t="inlineStr">
        <is>
          <t>1. Chiều = Bên bán
2. SL = 60.000
3. Lưu</t>
        </is>
      </c>
      <c r="G6" s="11" t="inlineStr">
        <is>
          <t>Hệ thống CHẶN CỨNG: Không cho bán vượt tồn kho</t>
        </is>
      </c>
      <c r="H6" s="19" t="inlineStr">
        <is>
          <t>Negative</t>
        </is>
      </c>
      <c r="I6" s="13" t="inlineStr">
        <is>
          <t>Critical</t>
        </is>
      </c>
      <c r="J6" s="11" t="inlineStr"/>
    </row>
    <row r="7">
      <c r="A7" s="14" t="n">
        <v>6</v>
      </c>
      <c r="B7" s="15" t="inlineStr">
        <is>
          <t>GT-FI-006</t>
        </is>
      </c>
      <c r="C7" s="15" t="inlineStr">
        <is>
          <t>Tồn kho</t>
        </is>
      </c>
      <c r="D7" s="15" t="inlineStr">
        <is>
          <t>CCTG bán vượt tồn kho → BLOCK</t>
        </is>
      </c>
      <c r="E7" s="15" t="inlineStr">
        <is>
          <t>Tồn kho CCTG = 30.000; SL bán = 40.000</t>
        </is>
      </c>
      <c r="F7" s="15" t="inlineStr">
        <is>
          <t>1. Chiều = Bên bán
2. SL = 40.000
3. Lưu</t>
        </is>
      </c>
      <c r="G7" s="15" t="inlineStr">
        <is>
          <t>Hệ thống CHẶN CỨNG</t>
        </is>
      </c>
      <c r="H7" s="19" t="inlineStr">
        <is>
          <t>Negative</t>
        </is>
      </c>
      <c r="I7" s="13" t="inlineStr">
        <is>
          <t>Critical</t>
        </is>
      </c>
      <c r="J7" s="15" t="inlineStr"/>
    </row>
    <row r="8">
      <c r="A8" s="10" t="n">
        <v>7</v>
      </c>
      <c r="B8" s="11" t="inlineStr">
        <is>
          <t>GT-FI-007</t>
        </is>
      </c>
      <c r="C8" s="11" t="inlineStr">
        <is>
          <t>Luồng duyệt</t>
        </is>
      </c>
      <c r="D8" s="11" t="inlineStr">
        <is>
          <t>FI Bond KHÔNG qua QLRR, KHÔNG qua TTQT</t>
        </is>
      </c>
      <c r="E8" s="11" t="inlineStr">
        <is>
          <t>GD FI Bond</t>
        </is>
      </c>
      <c r="F8" s="11" t="inlineStr">
        <is>
          <t>1. Theo dõi luồng: CV → TP → GĐ → KTTC (2 cấp) → Hoàn thành</t>
        </is>
      </c>
      <c r="G8" s="11" t="inlineStr">
        <is>
          <t>KHÔNG có bước QLRR. KHÔNG có bước TTQT.</t>
        </is>
      </c>
      <c r="H8" s="12" t="inlineStr">
        <is>
          <t>Happy</t>
        </is>
      </c>
      <c r="I8" s="13" t="inlineStr">
        <is>
          <t>Critical</t>
        </is>
      </c>
      <c r="J8" s="11" t="inlineStr"/>
    </row>
    <row r="9">
      <c r="A9" s="14" t="n">
        <v>8</v>
      </c>
      <c r="B9" s="15" t="inlineStr">
        <is>
          <t>GT-FI-008</t>
        </is>
      </c>
      <c r="C9" s="15" t="inlineStr">
        <is>
          <t>Hạn mức</t>
        </is>
      </c>
      <c r="D9" s="15" t="inlineStr">
        <is>
          <t>FI Bond: Hạn mức không TSBĐ dùng Giá thanh toán (không phải Số tiền gốc)</t>
        </is>
      </c>
      <c r="E9" s="15" t="inlineStr">
        <is>
          <t>FI Bond đã hoàn thành; Đối tác = MSB</t>
        </is>
      </c>
      <c r="F9" s="15" t="inlineStr">
        <is>
          <t>1. Kiểm tra Module 4 Hạn mức
2. Hạn mức đã sử dụng (không TSBĐ)</t>
        </is>
      </c>
      <c r="G9" s="15" t="inlineStr">
        <is>
          <t>Hạn mức đã SD tính theo 'Giá thanh toán' GD FI Bond, KHÔNG phải 'Số tiền gốc'</t>
        </is>
      </c>
      <c r="H9" s="12" t="inlineStr">
        <is>
          <t>Happy</t>
        </is>
      </c>
      <c r="I9" s="13" t="inlineStr">
        <is>
          <t>Critical</t>
        </is>
      </c>
      <c r="J9" s="15" t="inlineStr">
        <is>
          <t>BRD v3: FI Bond dùng Giá thanh toán cho hạn mức ko TSBĐ</t>
        </is>
      </c>
    </row>
    <row r="10">
      <c r="A10" s="10" t="n">
        <v>9</v>
      </c>
      <c r="B10" s="11" t="inlineStr">
        <is>
          <t>GT-FI-009</t>
        </is>
      </c>
      <c r="C10" s="11" t="inlineStr">
        <is>
          <t>Định dạng</t>
        </is>
      </c>
      <c r="D10" s="11" t="inlineStr">
        <is>
          <t>FI Bond dùng VN format giống Govi Bond</t>
        </is>
      </c>
      <c r="E10" s="11" t="inlineStr">
        <is>
          <t>Nhập SL = 1000000</t>
        </is>
      </c>
      <c r="F10" s="11" t="inlineStr">
        <is>
          <t>1. Kiểm tra hiển thị</t>
        </is>
      </c>
      <c r="G10" s="11" t="inlineStr">
        <is>
          <t>Hiển thị: 1.000.000 (VN format). Lãi suất: 2,5000% (dấu , thập phân)</t>
        </is>
      </c>
      <c r="H10" s="18" t="inlineStr">
        <is>
          <t>Edge</t>
        </is>
      </c>
      <c r="I10" s="16" t="inlineStr">
        <is>
          <t>High</t>
        </is>
      </c>
      <c r="J10" s="11" t="inlineStr"/>
    </row>
    <row r="11">
      <c r="A11" s="14" t="n">
        <v>10</v>
      </c>
      <c r="B11" s="15" t="inlineStr">
        <is>
          <t>GT-FI-010</t>
        </is>
      </c>
      <c r="C11" s="15" t="inlineStr">
        <is>
          <t>Ràng buộc</t>
        </is>
      </c>
      <c r="D11" s="15" t="inlineStr">
        <is>
          <t>Mã GTCG không bắt buộc cho FI Bond</t>
        </is>
      </c>
      <c r="E11" s="15" t="inlineStr">
        <is>
          <t>Bỏ trống Mã GTCG</t>
        </is>
      </c>
      <c r="F11" s="15" t="inlineStr">
        <is>
          <t>1. Tạo FI Bond, bỏ trống Mã GTCG
2. Lưu</t>
        </is>
      </c>
      <c r="G11" s="15" t="inlineStr">
        <is>
          <t>GD tạo thành công. Mã GTCG là không bắt buộc.</t>
        </is>
      </c>
      <c r="H11" s="12" t="inlineStr">
        <is>
          <t>Happy</t>
        </is>
      </c>
      <c r="I11" s="17" t="inlineStr">
        <is>
          <t>Medium</t>
        </is>
      </c>
      <c r="J11" s="15" t="inlineStr">
        <is>
          <t>BRD: Mã GTCG = Không bắt buộc</t>
        </is>
      </c>
    </row>
    <row r="12">
      <c r="A12" s="10" t="n">
        <v>11</v>
      </c>
      <c r="B12" s="11" t="inlineStr">
        <is>
          <t>GT-FI-011</t>
        </is>
      </c>
      <c r="C12" s="11" t="inlineStr">
        <is>
          <t>Ràng buộc</t>
        </is>
      </c>
      <c r="D12" s="11" t="inlineStr">
        <is>
          <t>Tổ chức phát hành bắt buộc</t>
        </is>
      </c>
      <c r="E12" s="11" t="inlineStr">
        <is>
          <t>Bỏ trống TCPH</t>
        </is>
      </c>
      <c r="F12" s="11" t="inlineStr">
        <is>
          <t>1. Bỏ trống Tổ chức phát hành
2. Lưu</t>
        </is>
      </c>
      <c r="G12" s="11" t="inlineStr">
        <is>
          <t>Hệ thống CHẶN: TCPH bắt buộc</t>
        </is>
      </c>
      <c r="H12" s="19" t="inlineStr">
        <is>
          <t>Negative</t>
        </is>
      </c>
      <c r="I12" s="16" t="inlineStr">
        <is>
          <t>High</t>
        </is>
      </c>
      <c r="J12" s="11" t="inlineStr"/>
    </row>
    <row r="13">
      <c r="A13" s="14" t="n">
        <v>12</v>
      </c>
      <c r="B13" s="15" t="inlineStr">
        <is>
          <t>GT-FI-012</t>
        </is>
      </c>
      <c r="C13" s="15" t="inlineStr">
        <is>
          <t>Ràng buộc</t>
        </is>
      </c>
      <c r="D13" s="15" t="inlineStr">
        <is>
          <t>Lãi suất coupon: 4 chữ số thập phân</t>
        </is>
      </c>
      <c r="E13" s="15" t="inlineStr">
        <is>
          <t>LS = 2,50001% (5 decimal)</t>
        </is>
      </c>
      <c r="F13" s="15" t="inlineStr">
        <is>
          <t>1. Nhập LS coupon = 2,50001%</t>
        </is>
      </c>
      <c r="G13" s="15" t="inlineStr">
        <is>
          <t>Hệ thống chỉ cho 4 decimal: 2,5000%</t>
        </is>
      </c>
      <c r="H13" s="18" t="inlineStr">
        <is>
          <t>Edge</t>
        </is>
      </c>
      <c r="I13" s="17" t="inlineStr">
        <is>
          <t>Medium</t>
        </is>
      </c>
      <c r="J13" s="15" t="inlineStr"/>
    </row>
    <row r="14">
      <c r="A14" s="10" t="n">
        <v>13</v>
      </c>
      <c r="B14" s="11" t="inlineStr">
        <is>
          <t>GT-FI-013</t>
        </is>
      </c>
      <c r="C14" s="11" t="inlineStr">
        <is>
          <t>Ngày tháng</t>
        </is>
      </c>
      <c r="D14" s="11" t="inlineStr">
        <is>
          <t>Ngày đáo hạn FI Bond/CCTG — nhập thủ công (bắt buộc)</t>
        </is>
      </c>
      <c r="E14" s="11" t="inlineStr">
        <is>
          <t>FI Bond (khác Govi Bond — Govi lấy từ danh mục)</t>
        </is>
      </c>
      <c r="F14" s="11" t="inlineStr">
        <is>
          <t>1. Nhập Ngày đáo hạn = 11/03/2027
2. Lưu</t>
        </is>
      </c>
      <c r="G14" s="11" t="inlineStr">
        <is>
          <t>Ngày đáo hạn lưu thành công. FI Bond cho nhập tay.</t>
        </is>
      </c>
      <c r="H14" s="12" t="inlineStr">
        <is>
          <t>Happy</t>
        </is>
      </c>
      <c r="I14" s="17" t="inlineStr">
        <is>
          <t>Medium</t>
        </is>
      </c>
      <c r="J14" s="11" t="inlineStr">
        <is>
          <t>Govi: tự động từ danh mục; FI: nhập tay</t>
        </is>
      </c>
    </row>
    <row r="15">
      <c r="A15" s="14" t="n">
        <v>14</v>
      </c>
      <c r="B15" s="15" t="inlineStr">
        <is>
          <t>GT-FI-014</t>
        </is>
      </c>
      <c r="C15" s="15" t="inlineStr">
        <is>
          <t>Hạch toán</t>
        </is>
      </c>
      <c r="D15" s="15" t="inlineStr">
        <is>
          <t>FI Bond mua → trường Hạch toán hiển thị</t>
        </is>
      </c>
      <c r="E15" s="15" t="inlineStr">
        <is>
          <t>Chiều = Bên mua</t>
        </is>
      </c>
      <c r="F15" s="15" t="inlineStr">
        <is>
          <t>1. Kiểm tra trường Hạch toán</t>
        </is>
      </c>
      <c r="G15" s="15" t="inlineStr">
        <is>
          <t>Hiển thị dropdown HTM/AFS/HFT khi mua</t>
        </is>
      </c>
      <c r="H15" s="12" t="inlineStr">
        <is>
          <t>Happy</t>
        </is>
      </c>
      <c r="I15" s="16" t="inlineStr">
        <is>
          <t>High</t>
        </is>
      </c>
      <c r="J15" s="15" t="inlineStr"/>
    </row>
    <row r="16">
      <c r="A16" s="10" t="n">
        <v>15</v>
      </c>
      <c r="B16" s="11" t="inlineStr">
        <is>
          <t>GT-FI-015</t>
        </is>
      </c>
      <c r="C16" s="11" t="inlineStr">
        <is>
          <t>Hạch toán</t>
        </is>
      </c>
      <c r="D16" s="11" t="inlineStr">
        <is>
          <t>FI Bond bán → trường Hạch toán ẩn</t>
        </is>
      </c>
      <c r="E16" s="11" t="inlineStr">
        <is>
          <t>Chiều = Bên bán</t>
        </is>
      </c>
      <c r="F16" s="11" t="inlineStr">
        <is>
          <t>1. Kiểm tra trường Hạch toán</t>
        </is>
      </c>
      <c r="G16" s="11" t="inlineStr">
        <is>
          <t>Trường Hạch toán không hiển thị</t>
        </is>
      </c>
      <c r="H16" s="12" t="inlineStr">
        <is>
          <t>Happy</t>
        </is>
      </c>
      <c r="I16" s="17" t="inlineStr">
        <is>
          <t>Medium</t>
        </is>
      </c>
      <c r="J16" s="11" t="inlineStr"/>
    </row>
    <row r="17">
      <c r="A17" s="14" t="n">
        <v>16</v>
      </c>
      <c r="B17" s="15" t="inlineStr">
        <is>
          <t>GT-FI-016</t>
        </is>
      </c>
      <c r="C17" s="15" t="inlineStr">
        <is>
          <t>Ràng buộc</t>
        </is>
      </c>
      <c r="D17" s="15" t="inlineStr">
        <is>
          <t>SL phải số nguyên (FI Bond)</t>
        </is>
      </c>
      <c r="E17" s="15" t="inlineStr">
        <is>
          <t>SL = 100.500,5 (có thập phân)</t>
        </is>
      </c>
      <c r="F17" s="15" t="inlineStr">
        <is>
          <t>1. Nhập SL có thập phân</t>
        </is>
      </c>
      <c r="G17" s="15" t="inlineStr">
        <is>
          <t>Hệ thống CHẶN: Số lượng phải nguyên</t>
        </is>
      </c>
      <c r="H17" s="19" t="inlineStr">
        <is>
          <t>Negative</t>
        </is>
      </c>
      <c r="I17" s="16" t="inlineStr">
        <is>
          <t>High</t>
        </is>
      </c>
      <c r="J17" s="15" t="inlineStr"/>
    </row>
    <row r="18">
      <c r="A18" s="10" t="n">
        <v>17</v>
      </c>
      <c r="B18" s="11" t="inlineStr">
        <is>
          <t>GT-FI-017</t>
        </is>
      </c>
      <c r="C18" s="11" t="inlineStr">
        <is>
          <t>Ràng buộc</t>
        </is>
      </c>
      <c r="D18" s="11" t="inlineStr">
        <is>
          <t>Giá thanh toán âm → BLOCK</t>
        </is>
      </c>
      <c r="E18" s="11" t="inlineStr">
        <is>
          <t>Giá TT = -120.160</t>
        </is>
      </c>
      <c r="F18" s="11" t="inlineStr">
        <is>
          <t>1. Nhập giá âm
2. Lưu</t>
        </is>
      </c>
      <c r="G18" s="11" t="inlineStr">
        <is>
          <t>Hệ thống CHẶN</t>
        </is>
      </c>
      <c r="H18" s="19" t="inlineStr">
        <is>
          <t>Negative</t>
        </is>
      </c>
      <c r="I18" s="16" t="inlineStr">
        <is>
          <t>High</t>
        </is>
      </c>
      <c r="J18" s="11" t="inlineStr"/>
    </row>
    <row r="19">
      <c r="A19" s="14" t="n">
        <v>18</v>
      </c>
      <c r="B19" s="15" t="inlineStr">
        <is>
          <t>GT-FI-018</t>
        </is>
      </c>
      <c r="C19" s="15" t="inlineStr">
        <is>
          <t>Mã GD</t>
        </is>
      </c>
      <c r="D19" s="15" t="inlineStr">
        <is>
          <t>Mã GD FI Bond format Fxxxxxxxxxx</t>
        </is>
      </c>
      <c r="E19" s="15" t="inlineStr">
        <is>
          <t>Tạo GD FI Bond</t>
        </is>
      </c>
      <c r="F19" s="15" t="inlineStr">
        <is>
          <t>1. Kiểm tra mã GD</t>
        </is>
      </c>
      <c r="G19" s="15" t="inlineStr">
        <is>
          <t>Mã bắt đầu bằng 'F': F0000000001</t>
        </is>
      </c>
      <c r="H19" s="12" t="inlineStr">
        <is>
          <t>Happy</t>
        </is>
      </c>
      <c r="I19" s="17" t="inlineStr">
        <is>
          <t>Medium</t>
        </is>
      </c>
      <c r="J19" s="15" t="inlineStr"/>
    </row>
    <row r="20">
      <c r="A20" s="10" t="n">
        <v>19</v>
      </c>
      <c r="B20" s="11" t="inlineStr">
        <is>
          <t>GT-FI-019</t>
        </is>
      </c>
      <c r="C20" s="11" t="inlineStr">
        <is>
          <t>Ngày tháng</t>
        </is>
      </c>
      <c r="D20" s="11" t="inlineStr">
        <is>
          <t>Kỳ hạn còn lại âm (CCTG đã đáo hạn)</t>
        </is>
      </c>
      <c r="E20" s="11" t="inlineStr">
        <is>
          <t>CCTG có Ngày đáo hạn &lt; Ngày TT</t>
        </is>
      </c>
      <c r="F20" s="11" t="inlineStr">
        <is>
          <t>1. Ngày TT &gt; Ngày đáo hạn
2. Kiểm tra Kỳ hạn</t>
        </is>
      </c>
      <c r="G20" s="11" t="inlineStr">
        <is>
          <t>Kỳ hạn = số âm hoặc CẢNH BÁO</t>
        </is>
      </c>
      <c r="H20" s="18" t="inlineStr">
        <is>
          <t>Edge</t>
        </is>
      </c>
      <c r="I20" s="17" t="inlineStr">
        <is>
          <t>Medium</t>
        </is>
      </c>
      <c r="J20" s="11" t="inlineStr"/>
    </row>
    <row r="21">
      <c r="A21" s="14" t="n">
        <v>20</v>
      </c>
      <c r="B21" s="15" t="inlineStr">
        <is>
          <t>GT-FI-020</t>
        </is>
      </c>
      <c r="C21" s="15" t="inlineStr">
        <is>
          <t>Workflow</t>
        </is>
      </c>
      <c r="D21" s="15" t="inlineStr">
        <is>
          <t>CV sửa FI Bond sau TP duyệt → BLOCK</t>
        </is>
      </c>
      <c r="E21" s="15" t="inlineStr">
        <is>
          <t>GD ở Chờ K.NV duyệt</t>
        </is>
      </c>
      <c r="F21" s="15" t="inlineStr">
        <is>
          <t>1. CV cố sửa</t>
        </is>
      </c>
      <c r="G21" s="15" t="inlineStr">
        <is>
          <t>Hệ thống CHẶN</t>
        </is>
      </c>
      <c r="H21" s="19" t="inlineStr">
        <is>
          <t>Negative</t>
        </is>
      </c>
      <c r="I21" s="13" t="inlineStr">
        <is>
          <t>Critical</t>
        </is>
      </c>
      <c r="J21" s="15" t="inlineStr"/>
    </row>
    <row r="22">
      <c r="A22" s="10" t="n">
        <v>21</v>
      </c>
      <c r="B22" s="11" t="inlineStr">
        <is>
          <t>GT-FI-021</t>
        </is>
      </c>
      <c r="C22" s="11" t="inlineStr">
        <is>
          <t>Luồng duyệt</t>
        </is>
      </c>
      <c r="D22" s="11" t="inlineStr">
        <is>
          <t>CCTG qua đúng luồng GTCG</t>
        </is>
      </c>
      <c r="E22" s="11" t="inlineStr">
        <is>
          <t>GD CCTG</t>
        </is>
      </c>
      <c r="F22" s="11" t="inlineStr">
        <is>
          <t>1. CV → TP → GĐ → KTTC (2 cấp) → Hoàn thành</t>
        </is>
      </c>
      <c r="G22" s="11" t="inlineStr">
        <is>
          <t>CCTG = giống FI Bond. Không QLRR, không TTQT.</t>
        </is>
      </c>
      <c r="H22" s="12" t="inlineStr">
        <is>
          <t>Happy</t>
        </is>
      </c>
      <c r="I22" s="13" t="inlineStr">
        <is>
          <t>Critical</t>
        </is>
      </c>
      <c r="J22" s="11" t="inlineStr"/>
    </row>
    <row r="23">
      <c r="A23" s="14" t="n">
        <v>22</v>
      </c>
      <c r="B23" s="15" t="inlineStr">
        <is>
          <t>GT-FI-022</t>
        </is>
      </c>
      <c r="C23" s="15" t="inlineStr">
        <is>
          <t>Ràng buộc</t>
        </is>
      </c>
      <c r="D23" s="15" t="inlineStr">
        <is>
          <t>SL = 0 → BLOCK</t>
        </is>
      </c>
      <c r="E23" s="15" t="inlineStr">
        <is>
          <t>SL = 0</t>
        </is>
      </c>
      <c r="F23" s="15" t="inlineStr">
        <is>
          <t>1. SL = 0
2. Lưu</t>
        </is>
      </c>
      <c r="G23" s="15" t="inlineStr">
        <is>
          <t>Hệ thống CHẶN</t>
        </is>
      </c>
      <c r="H23" s="19" t="inlineStr">
        <is>
          <t>Negative</t>
        </is>
      </c>
      <c r="I23" s="16" t="inlineStr">
        <is>
          <t>High</t>
        </is>
      </c>
      <c r="J23" s="15" t="inlineStr"/>
    </row>
    <row r="24">
      <c r="A24" s="10" t="n">
        <v>23</v>
      </c>
      <c r="B24" s="11" t="inlineStr">
        <is>
          <t>GT-FI-023</t>
        </is>
      </c>
      <c r="C24" s="11" t="inlineStr">
        <is>
          <t>Loại GD</t>
        </is>
      </c>
      <c r="D24" s="11" t="inlineStr">
        <is>
          <t>FI Bond Repo thành công</t>
        </is>
      </c>
      <c r="E24" s="11" t="inlineStr">
        <is>
          <t>Loại GD = Repo</t>
        </is>
      </c>
      <c r="F24" s="11" t="inlineStr">
        <is>
          <t>1. Chọn Repo
2. Điền đầy đủ
3. Lưu</t>
        </is>
      </c>
      <c r="G24" s="11" t="inlineStr">
        <is>
          <t>GD Repo thành công</t>
        </is>
      </c>
      <c r="H24" s="12" t="inlineStr">
        <is>
          <t>Happy</t>
        </is>
      </c>
      <c r="I24" s="17" t="inlineStr">
        <is>
          <t>Medium</t>
        </is>
      </c>
      <c r="J24" s="11" t="inlineStr"/>
    </row>
    <row r="25">
      <c r="A25" s="14" t="n">
        <v>24</v>
      </c>
      <c r="B25" s="15" t="inlineStr">
        <is>
          <t>GT-FI-024</t>
        </is>
      </c>
      <c r="C25" s="15" t="inlineStr">
        <is>
          <t>Ràng buộc</t>
        </is>
      </c>
      <c r="D25" s="15" t="inlineStr">
        <is>
          <t>Thiếu trường bắt buộc (Ngày đáo hạn)</t>
        </is>
      </c>
      <c r="E25" s="15" t="inlineStr">
        <is>
          <t>Bỏ trống Ngày đáo hạn</t>
        </is>
      </c>
      <c r="F25" s="15" t="inlineStr">
        <is>
          <t>1. Bỏ trống
2. Lưu</t>
        </is>
      </c>
      <c r="G25" s="15" t="inlineStr">
        <is>
          <t>Hệ thống CHẶN: Ngày đáo hạn bắt buộc</t>
        </is>
      </c>
      <c r="H25" s="19" t="inlineStr">
        <is>
          <t>Negative</t>
        </is>
      </c>
      <c r="I25" s="16" t="inlineStr">
        <is>
          <t>High</t>
        </is>
      </c>
      <c r="J25" s="15" t="inlineStr"/>
    </row>
    <row r="26">
      <c r="A26" s="10" t="n">
        <v>25</v>
      </c>
      <c r="B26" s="11" t="inlineStr">
        <is>
          <t>GT-FI-025</t>
        </is>
      </c>
      <c r="C26" s="11" t="inlineStr">
        <is>
          <t>Tổng giá trị</t>
        </is>
      </c>
      <c r="D26" s="11" t="inlineStr">
        <is>
          <t>Tổng giá trị CCTG overflow check</t>
        </is>
      </c>
      <c r="E26" s="11" t="inlineStr">
        <is>
          <t>SL = 5.000.000; Giá TT = 1.000.000.000</t>
        </is>
      </c>
      <c r="F26" s="11" t="inlineStr">
        <is>
          <t>1. Nhập SL và Giá TT lớn
2. Kiểm tra</t>
        </is>
      </c>
      <c r="G26" s="11" t="inlineStr">
        <is>
          <t>Tổng = 5.000.000.000.000.000 (5 triệu tỷ). Không overflow.</t>
        </is>
      </c>
      <c r="H26" s="18" t="inlineStr">
        <is>
          <t>Edge</t>
        </is>
      </c>
      <c r="I26" s="16" t="inlineStr">
        <is>
          <t>High</t>
        </is>
      </c>
      <c r="J26" s="11" t="inlineStr"/>
    </row>
    <row r="27">
      <c r="A27" s="10" t="n">
        <v>26</v>
      </c>
      <c r="B27" s="11" t="inlineStr">
        <is>
          <t>GT-FI-026</t>
        </is>
      </c>
      <c r="C27" s="11" t="inlineStr">
        <is>
          <t>Recall</t>
        </is>
      </c>
      <c r="D27" s="11" t="inlineStr">
        <is>
          <t>CV Recall GD FI Bond khi Chờ K.NV duyệt → Open</t>
        </is>
      </c>
      <c r="E27" s="11" t="inlineStr">
        <is>
          <t>GD FI Bond trạng thái Chờ K.NV duyệt</t>
        </is>
      </c>
      <c r="F27" s="11" t="inlineStr">
        <is>
          <t>1. CV nhấn Recall
2. Nhập lý do</t>
        </is>
      </c>
      <c r="G27" s="11" t="inlineStr">
        <is>
          <t>GD quay về Open, CV có thể chỉnh sửa.</t>
        </is>
      </c>
      <c r="H27" s="18" t="inlineStr">
        <is>
          <t>Happy</t>
        </is>
      </c>
      <c r="I27" s="16" t="inlineStr">
        <is>
          <t>Critical</t>
        </is>
      </c>
      <c r="J27" s="11" t="inlineStr">
        <is>
          <t>BRD §4.1.1</t>
        </is>
      </c>
    </row>
    <row r="28">
      <c r="A28" s="10" t="n">
        <v>27</v>
      </c>
      <c r="B28" s="11" t="inlineStr">
        <is>
          <t>GT-FI-027</t>
        </is>
      </c>
      <c r="C28" s="11" t="inlineStr">
        <is>
          <t>Recall</t>
        </is>
      </c>
      <c r="D28" s="11" t="inlineStr">
        <is>
          <t>TP Recall GD CCTG khi Chờ K.NV duyệt → quay về TP</t>
        </is>
      </c>
      <c r="E28" s="11" t="inlineStr">
        <is>
          <t>GD CCTG trạng thái Chờ K.NV duyệt</t>
        </is>
      </c>
      <c r="F28" s="11" t="inlineStr">
        <is>
          <t>1. TP nhấn Recall
2. Nhập lý do</t>
        </is>
      </c>
      <c r="G28" s="11" t="inlineStr">
        <is>
          <t>GD quay về bước TP review.</t>
        </is>
      </c>
      <c r="H28" s="18" t="inlineStr">
        <is>
          <t>Happy</t>
        </is>
      </c>
      <c r="I28" s="16" t="inlineStr">
        <is>
          <t>Critical</t>
        </is>
      </c>
      <c r="J28" s="11" t="inlineStr">
        <is>
          <t>BRD §4.1.2</t>
        </is>
      </c>
    </row>
    <row r="29">
      <c r="A29" s="10" t="n">
        <v>28</v>
      </c>
      <c r="B29" s="11" t="inlineStr">
        <is>
          <t>GT-FI-028</t>
        </is>
      </c>
      <c r="C29" s="11" t="inlineStr">
        <is>
          <t>Cancel</t>
        </is>
      </c>
      <c r="D29" s="11" t="inlineStr">
        <is>
          <t>Cancel GD FI Bond Hoàn thành — luồng 2 cấp: CV → TP → GĐ</t>
        </is>
      </c>
      <c r="E29" s="11" t="inlineStr">
        <is>
          <t>GD FI Bond Hoàn thành</t>
        </is>
      </c>
      <c r="F29" s="11" t="inlineStr">
        <is>
          <t>1. CV nhấn Hủy, nhập lý do
2. TP duyệt hủy cấp 1
3. GĐ duyệt hủy cấp 2</t>
        </is>
      </c>
      <c r="G29" s="11" t="inlineStr">
        <is>
          <t>GD chuyển Đã hủy. Email gửi P.KTTC.</t>
        </is>
      </c>
      <c r="H29" s="18" t="inlineStr">
        <is>
          <t>Happy</t>
        </is>
      </c>
      <c r="I29" s="16" t="inlineStr">
        <is>
          <t>Critical</t>
        </is>
      </c>
      <c r="J29" s="11" t="inlineStr">
        <is>
          <t>BRD v3 §4.2</t>
        </is>
      </c>
    </row>
    <row r="30">
      <c r="A30" s="10" t="n">
        <v>29</v>
      </c>
      <c r="B30" s="11" t="inlineStr">
        <is>
          <t>GT-FI-029</t>
        </is>
      </c>
      <c r="C30" s="11" t="inlineStr">
        <is>
          <t>Cancel</t>
        </is>
      </c>
      <c r="D30" s="11" t="inlineStr">
        <is>
          <t>Cancel GD CCTG Hoàn thành — luồng 2 cấp</t>
        </is>
      </c>
      <c r="E30" s="11" t="inlineStr">
        <is>
          <t>GD CCTG Hoàn thành</t>
        </is>
      </c>
      <c r="F30" s="11" t="inlineStr">
        <is>
          <t>1. CV nhấn Hủy
2. TP duyệt
3. GĐ duyệt</t>
        </is>
      </c>
      <c r="G30" s="11" t="inlineStr">
        <is>
          <t>GD chuyển Đã hủy. Email P.KTTC.</t>
        </is>
      </c>
      <c r="H30" s="18" t="inlineStr">
        <is>
          <t>Happy</t>
        </is>
      </c>
      <c r="I30" s="16" t="inlineStr">
        <is>
          <t>Critical</t>
        </is>
      </c>
      <c r="J30" s="11" t="inlineStr">
        <is>
          <t>BRD v3 §4.2</t>
        </is>
      </c>
    </row>
    <row r="31">
      <c r="A31" s="10" t="n">
        <v>30</v>
      </c>
      <c r="B31" s="11" t="inlineStr">
        <is>
          <t>GT-FI-030</t>
        </is>
      </c>
      <c r="C31" s="11" t="inlineStr">
        <is>
          <t>Cancel</t>
        </is>
      </c>
      <c r="D31" s="11" t="inlineStr">
        <is>
          <t>TP từ chối hủy FI Bond → GD giữ nguyên</t>
        </is>
      </c>
      <c r="E31" s="11" t="inlineStr">
        <is>
          <t>GD FI Bond chờ TP duyệt hủy</t>
        </is>
      </c>
      <c r="F31" s="11" t="inlineStr">
        <is>
          <t>1. TP nhấn Từ chối hủy</t>
        </is>
      </c>
      <c r="G31" s="11" t="inlineStr">
        <is>
          <t>GD giữ nguyên trạng thái Hoàn thành</t>
        </is>
      </c>
      <c r="H31" s="18" t="inlineStr">
        <is>
          <t>Happy</t>
        </is>
      </c>
      <c r="I31" s="16" t="inlineStr">
        <is>
          <t>High</t>
        </is>
      </c>
      <c r="J31" s="11" t="inlineStr">
        <is>
          <t>BRD v3 §4.2</t>
        </is>
      </c>
    </row>
    <row r="32">
      <c r="A32" s="10" t="n">
        <v>31</v>
      </c>
      <c r="B32" s="11" t="inlineStr">
        <is>
          <t>GT-FI-031</t>
        </is>
      </c>
      <c r="C32" s="11" t="inlineStr">
        <is>
          <t>Clone</t>
        </is>
      </c>
      <c r="D32" s="11" t="inlineStr">
        <is>
          <t>Clone GD FI Bond bị Từ chối → GD mới Open</t>
        </is>
      </c>
      <c r="E32" s="11" t="inlineStr">
        <is>
          <t>GD FI Bond trạng thái Từ chối</t>
        </is>
      </c>
      <c r="F32" s="11" t="inlineStr">
        <is>
          <t>1. CV nhấn Clone</t>
        </is>
      </c>
      <c r="G32" s="11" t="inlineStr">
        <is>
          <t>GD mới Open, copy: đối tác, mã GTCG, TCPH, lãi suất, SL, giá.</t>
        </is>
      </c>
      <c r="H32" s="18" t="inlineStr">
        <is>
          <t>Happy</t>
        </is>
      </c>
      <c r="I32" s="16" t="inlineStr">
        <is>
          <t>Critical</t>
        </is>
      </c>
      <c r="J32" s="11" t="inlineStr">
        <is>
          <t>BRD §4.3</t>
        </is>
      </c>
    </row>
    <row r="33">
      <c r="A33" s="10" t="n">
        <v>32</v>
      </c>
      <c r="B33" s="11" t="inlineStr">
        <is>
          <t>GT-FI-032</t>
        </is>
      </c>
      <c r="C33" s="11" t="inlineStr">
        <is>
          <t>Clone</t>
        </is>
      </c>
      <c r="D33" s="11" t="inlineStr">
        <is>
          <t>Clone GD CCTG bị Hủy giao dịch (KTTC reject)</t>
        </is>
      </c>
      <c r="E33" s="11" t="inlineStr">
        <is>
          <t>GD CCTG trạng thái Hủy giao dịch</t>
        </is>
      </c>
      <c r="F33" s="11" t="inlineStr">
        <is>
          <t>1. CV nhấn Clone</t>
        </is>
      </c>
      <c r="G33" s="11" t="inlineStr">
        <is>
          <t>GD mới Open, dữ liệu CCTG copy đầy đủ</t>
        </is>
      </c>
      <c r="H33" s="18" t="inlineStr">
        <is>
          <t>Happy</t>
        </is>
      </c>
      <c r="I33" s="16" t="inlineStr">
        <is>
          <t>Critical</t>
        </is>
      </c>
      <c r="J33" s="11" t="inlineStr">
        <is>
          <t>BRD §4.3</t>
        </is>
      </c>
    </row>
    <row r="34">
      <c r="A34" s="10" t="n">
        <v>33</v>
      </c>
      <c r="B34" s="11" t="inlineStr">
        <is>
          <t>GT-FI-033</t>
        </is>
      </c>
      <c r="C34" s="11" t="inlineStr">
        <is>
          <t>Tồn kho</t>
        </is>
      </c>
      <c r="D34" s="11" t="inlineStr">
        <is>
          <t>FI Bond bán → inventory giảm sau deal hoàn thành</t>
        </is>
      </c>
      <c r="E34" s="11" t="inlineStr">
        <is>
          <t>GD FI Bond BÁN, tồn kho đủ</t>
        </is>
      </c>
      <c r="F34" s="11" t="inlineStr">
        <is>
          <t>1. Tạo GD bán FI Bond
2. Duyệt đến Hoàn thành
3. Kiểm tra tồn kho</t>
        </is>
      </c>
      <c r="G34" s="11" t="inlineStr">
        <is>
          <t>Tồn kho FI Bond giảm = Số lượng bán.</t>
        </is>
      </c>
      <c r="H34" s="18" t="inlineStr">
        <is>
          <t>Happy</t>
        </is>
      </c>
      <c r="I34" s="16" t="inlineStr">
        <is>
          <t>Critical</t>
        </is>
      </c>
      <c r="J34" s="11" t="inlineStr">
        <is>
          <t>Inventory logic</t>
        </is>
      </c>
    </row>
    <row r="35">
      <c r="A35" s="10" t="n">
        <v>34</v>
      </c>
      <c r="B35" s="11" t="inlineStr">
        <is>
          <t>GT-FI-034</t>
        </is>
      </c>
      <c r="C35" s="11" t="inlineStr">
        <is>
          <t>Tồn kho</t>
        </is>
      </c>
      <c r="D35" s="11" t="inlineStr">
        <is>
          <t>CCTG mua → inventory tăng sau deal hoàn thành</t>
        </is>
      </c>
      <c r="E35" s="11" t="inlineStr">
        <is>
          <t>GD CCTG MUA</t>
        </is>
      </c>
      <c r="F35" s="11" t="inlineStr">
        <is>
          <t>1. Tạo GD mua CCTG
2. Duyệt đến Hoàn thành
3. Kiểm tra tồn kho</t>
        </is>
      </c>
      <c r="G35" s="11" t="inlineStr">
        <is>
          <t>Tồn kho CCTG tăng = Số lượng mua. Record mới nếu chưa có.</t>
        </is>
      </c>
      <c r="H35" s="18" t="inlineStr">
        <is>
          <t>Happy</t>
        </is>
      </c>
      <c r="I35" s="16" t="inlineStr">
        <is>
          <t>Critical</t>
        </is>
      </c>
      <c r="J35" s="11" t="inlineStr">
        <is>
          <t>UpsertBondInventory logic</t>
        </is>
      </c>
    </row>
    <row r="36">
      <c r="A36" s="10" t="n">
        <v>35</v>
      </c>
      <c r="B36" s="11" t="inlineStr">
        <is>
          <t>GT-FI-035</t>
        </is>
      </c>
      <c r="C36" s="11" t="inlineStr">
        <is>
          <t>Định dạng</t>
        </is>
      </c>
      <c r="D36" s="11" t="inlineStr">
        <is>
          <t>FI Bond/CCTG: format VN cho tất cả trường tiền</t>
        </is>
      </c>
      <c r="E36" s="11" t="inlineStr">
        <is>
          <t>Mệnh giá = 100000, Giá sạch = 120160</t>
        </is>
      </c>
      <c r="F36" s="11" t="inlineStr">
        <is>
          <t>1. Nhập dữ liệu
2. Kiểm tra hiển thị</t>
        </is>
      </c>
      <c r="G36" s="11" t="inlineStr">
        <is>
          <t>MG: 100.000 | Giá sạch: 120.160 (dấu . nghìn)</t>
        </is>
      </c>
      <c r="H36" s="18" t="inlineStr">
        <is>
          <t>Edge</t>
        </is>
      </c>
      <c r="I36" s="16" t="inlineStr">
        <is>
          <t>High</t>
        </is>
      </c>
      <c r="J36" s="11" t="inlineStr">
        <is>
          <t>BRD §1.4</t>
        </is>
      </c>
    </row>
    <row r="37">
      <c r="A37" s="10" t="n">
        <v>36</v>
      </c>
      <c r="B37" s="11" t="inlineStr">
        <is>
          <t>GT-FI-036</t>
        </is>
      </c>
      <c r="C37" s="11" t="inlineStr">
        <is>
          <t>Định dạng</t>
        </is>
      </c>
      <c r="D37" s="11" t="inlineStr">
        <is>
          <t>FI Bond lãi suất coupon: 4 decimal, dấu , thập phân</t>
        </is>
      </c>
      <c r="E37" s="11" t="inlineStr">
        <is>
          <t>Coupon rate nhập 2.5000</t>
        </is>
      </c>
      <c r="F37" s="11" t="inlineStr">
        <is>
          <t>1. Nhập lãi suất
2. Kiểm tra hiển thị</t>
        </is>
      </c>
      <c r="G37" s="11" t="inlineStr">
        <is>
          <t>Hiển thị: 2,5000% (dấu phẩy, 4 decimal)</t>
        </is>
      </c>
      <c r="H37" s="18" t="inlineStr">
        <is>
          <t>Edge</t>
        </is>
      </c>
      <c r="I37" s="16" t="inlineStr">
        <is>
          <t>Medium</t>
        </is>
      </c>
      <c r="J37" s="11" t="inlineStr">
        <is>
          <t>BRD §3.2.2</t>
        </is>
      </c>
    </row>
    <row r="38">
      <c r="A38" s="10" t="n">
        <v>37</v>
      </c>
      <c r="B38" s="11" t="inlineStr">
        <is>
          <t>GT-FI-037</t>
        </is>
      </c>
      <c r="C38" s="11" t="inlineStr">
        <is>
          <t>Ngày tháng</t>
        </is>
      </c>
      <c r="D38" s="11" t="inlineStr">
        <is>
          <t>FI Bond Ngày phát hành: hiển thị "Tự động" — xác nhận logic</t>
        </is>
      </c>
      <c r="E38" s="11" t="inlineStr">
        <is>
          <t>Tạo GD FI Bond</t>
        </is>
      </c>
      <c r="F38" s="11" t="inlineStr">
        <is>
          <t>1. Kiểm tra trường Ngày phát hành
2. Xác nhận giá trị</t>
        </is>
      </c>
      <c r="G38" s="11" t="inlineStr">
        <is>
          <t>Ngày phát hành hiển thị tự động (cần confirm logic nguồn)</t>
        </is>
      </c>
      <c r="H38" s="18" t="inlineStr">
        <is>
          <t>Edge</t>
        </is>
      </c>
      <c r="I38" s="16" t="inlineStr">
        <is>
          <t>Medium</t>
        </is>
      </c>
      <c r="J38" s="11" t="inlineStr">
        <is>
          <t>BRD §3.2.2 — "Tự động" nhưng nguồn chưa rõ. GAP #4 schema review.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MM-LN-001</t>
        </is>
      </c>
      <c r="C2" s="11" t="inlineStr">
        <is>
          <t>Tạo GD</t>
        </is>
      </c>
      <c r="D2" s="11" t="inlineStr">
        <is>
          <t>Tạo GD Gửi tiền VND Liên NH thành công</t>
        </is>
      </c>
      <c r="E2" s="11" t="inlineStr">
        <is>
          <t>CV K.NV; Đối tác MSB; Loại tiền = VND</t>
        </is>
      </c>
      <c r="F2" s="11" t="inlineStr">
        <is>
          <t>1. Chiều = Gửi tiền
2. Gốc = 100,000,000,000 VND
3. LS = 4.50%/năm
4. Day count = Actual/365
5. Kỳ hạn = 90 ngày
6. Lưu</t>
        </is>
      </c>
      <c r="G2" s="11" t="inlineStr">
        <is>
          <t>GD thành công.
Lãi = 100,000,000,000 × 4.50/100 × 90/365 = 1,109,589,041 VND (không thập phân)
Tổng đáo hạn = 101,109,589,041 VND</t>
        </is>
      </c>
      <c r="H2" s="12" t="inlineStr">
        <is>
          <t>Happy</t>
        </is>
      </c>
      <c r="I2" s="13" t="inlineStr">
        <is>
          <t>Critical</t>
        </is>
      </c>
      <c r="J2" s="11" t="inlineStr">
        <is>
          <t>VND: không thập phân</t>
        </is>
      </c>
    </row>
    <row r="3">
      <c r="A3" s="14" t="n">
        <v>2</v>
      </c>
      <c r="B3" s="15" t="inlineStr">
        <is>
          <t>MM-LN-002</t>
        </is>
      </c>
      <c r="C3" s="15" t="inlineStr">
        <is>
          <t>Công thức</t>
        </is>
      </c>
      <c r="D3" s="15" t="inlineStr">
        <is>
          <t>Lãi USD với Actual/360</t>
        </is>
      </c>
      <c r="E3" s="15" t="inlineStr">
        <is>
          <t>USD; Gốc = 10,000,000.00; LS = 5.25%/năm; Day count = Actual/360; Kỳ hạn = 30 ngày</t>
        </is>
      </c>
      <c r="F3" s="15" t="inlineStr">
        <is>
          <t>1. Nhập đầy đủ
2. Kiểm tra Lãi</t>
        </is>
      </c>
      <c r="G3" s="15" t="inlineStr">
        <is>
          <t>Lãi = 10,000,000 × 5.25/100 × 30/360 = 43,750.00 USD
Tổng = 10,043,750.00 USD (2 decimal)</t>
        </is>
      </c>
      <c r="H3" s="12" t="inlineStr">
        <is>
          <t>Happy</t>
        </is>
      </c>
      <c r="I3" s="13" t="inlineStr">
        <is>
          <t>Critical</t>
        </is>
      </c>
      <c r="J3" s="15" t="inlineStr">
        <is>
          <t>USD: 2 decimal; Day count = 360</t>
        </is>
      </c>
    </row>
    <row r="4">
      <c r="A4" s="10" t="n">
        <v>3</v>
      </c>
      <c r="B4" s="11" t="inlineStr">
        <is>
          <t>MM-LN-003</t>
        </is>
      </c>
      <c r="C4" s="11" t="inlineStr">
        <is>
          <t>Công thức</t>
        </is>
      </c>
      <c r="D4" s="11" t="inlineStr">
        <is>
          <t>Lãi VND với Actual/360 (khác base)</t>
        </is>
      </c>
      <c r="E4" s="11" t="inlineStr">
        <is>
          <t>VND; Gốc = 500,000,000,000; LS = 3.80%/năm; Actual/360; 60 ngày</t>
        </is>
      </c>
      <c r="F4" s="11" t="inlineStr">
        <is>
          <t>1. Kiểm tra</t>
        </is>
      </c>
      <c r="G4" s="11" t="inlineStr">
        <is>
          <t>Lãi = 500B × 3.80/100 × 60/360 = 3,166,666,667 VND
(làm tròn nguyên)</t>
        </is>
      </c>
      <c r="H4" s="12" t="inlineStr">
        <is>
          <t>Happy</t>
        </is>
      </c>
      <c r="I4" s="13" t="inlineStr">
        <is>
          <t>Critical</t>
        </is>
      </c>
      <c r="J4" s="11" t="inlineStr">
        <is>
          <t>Day count 360 vs 365 cho kết quả khác</t>
        </is>
      </c>
    </row>
    <row r="5">
      <c r="A5" s="14" t="n">
        <v>4</v>
      </c>
      <c r="B5" s="15" t="inlineStr">
        <is>
          <t>MM-LN-004</t>
        </is>
      </c>
      <c r="C5" s="15" t="inlineStr">
        <is>
          <t>Công thức</t>
        </is>
      </c>
      <c r="D5" s="15" t="inlineStr">
        <is>
          <t>Lãi với Actual/Actual (năm nhuận 366 ngày)</t>
        </is>
      </c>
      <c r="E5" s="15" t="inlineStr">
        <is>
          <t>VND; 2028 là năm nhuận; Kỳ hạn nằm trong năm 2028</t>
        </is>
      </c>
      <c r="F5" s="15" t="inlineStr">
        <is>
          <t>1. Ngày hiệu lực = 01/01/2028; Kỳ hạn = 90
2. Kiểm tra Day count base</t>
        </is>
      </c>
      <c r="G5" s="15" t="inlineStr">
        <is>
          <t>Day count base = 366 (năm nhuận).
Lãi tính với /366 thay vì /365</t>
        </is>
      </c>
      <c r="H5" s="18" t="inlineStr">
        <is>
          <t>Edge</t>
        </is>
      </c>
      <c r="I5" s="16" t="inlineStr">
        <is>
          <t>High</t>
        </is>
      </c>
      <c r="J5" s="15" t="inlineStr">
        <is>
          <t>Actual/Actual dùng số ngày thực tế trong năm</t>
        </is>
      </c>
    </row>
    <row r="6">
      <c r="A6" s="10" t="n">
        <v>5</v>
      </c>
      <c r="B6" s="11" t="inlineStr">
        <is>
          <t>MM-LN-005</t>
        </is>
      </c>
      <c r="C6" s="11" t="inlineStr">
        <is>
          <t>Công thức</t>
        </is>
      </c>
      <c r="D6" s="11" t="inlineStr">
        <is>
          <t>Công thức ĐÚNG: Gốc × LS/100 × Kỳ hạn/N (không phải v1)</t>
        </is>
      </c>
      <c r="E6" s="11" t="inlineStr">
        <is>
          <t>Gốc = 100B; LS = 4.50%; Kỳ hạn = 90; Actual/365</t>
        </is>
      </c>
      <c r="F6" s="11" t="inlineStr">
        <is>
          <t>1. Kiểm tra công thức</t>
        </is>
      </c>
      <c r="G6" s="11" t="inlineStr">
        <is>
          <t>ĐÚNG: 100B × 4.50/100 × 90/365 = 1,109,589,041 VND
SAI (v1): 100B × [(1+4.50/100) × 90]/365 = ??? (khác hoàn toàn)
Nếu kết quả khác → BUG công thức v1</t>
        </is>
      </c>
      <c r="H6" s="12" t="inlineStr">
        <is>
          <t>Happy</t>
        </is>
      </c>
      <c r="I6" s="13" t="inlineStr">
        <is>
          <t>Critical</t>
        </is>
      </c>
      <c r="J6" s="11" t="inlineStr">
        <is>
          <t>⚠️ BRD v1 có lỗi dấu ngoặc. Kiểm tra dùng đúng công thức v3</t>
        </is>
      </c>
    </row>
    <row r="7">
      <c r="A7" s="14" t="n">
        <v>6</v>
      </c>
      <c r="B7" s="15" t="inlineStr">
        <is>
          <t>MM-LN-006</t>
        </is>
      </c>
      <c r="C7" s="15" t="inlineStr">
        <is>
          <t>Công thức</t>
        </is>
      </c>
      <c r="D7" s="15" t="inlineStr">
        <is>
          <t>Kỳ hạn = 1 ngày (overnight)</t>
        </is>
      </c>
      <c r="E7" s="15" t="inlineStr">
        <is>
          <t>Gốc = 200B VND; LS = 4.50%; Actual/365; Kỳ hạn = 1</t>
        </is>
      </c>
      <c r="F7" s="15" t="inlineStr">
        <is>
          <t>1. Kỳ hạn = 1 ngày
2. Kiểm tra</t>
        </is>
      </c>
      <c r="G7" s="15" t="inlineStr">
        <is>
          <t>Lãi = 200B × 4.50/100 × 1/365 = 24,657,534 VND
Ngày đáo hạn = Ngày hiệu lực + 1 ngày</t>
        </is>
      </c>
      <c r="H7" s="18" t="inlineStr">
        <is>
          <t>Edge</t>
        </is>
      </c>
      <c r="I7" s="16" t="inlineStr">
        <is>
          <t>High</t>
        </is>
      </c>
      <c r="J7" s="15" t="inlineStr">
        <is>
          <t>Overnight</t>
        </is>
      </c>
    </row>
    <row r="8">
      <c r="A8" s="10" t="n">
        <v>7</v>
      </c>
      <c r="B8" s="11" t="inlineStr">
        <is>
          <t>MM-LN-007</t>
        </is>
      </c>
      <c r="C8" s="11" t="inlineStr">
        <is>
          <t>Ngày tháng</t>
        </is>
      </c>
      <c r="D8" s="11" t="inlineStr">
        <is>
          <t>Ngày đáo hạn = Ngày hiệu lực + Kỳ hạn</t>
        </is>
      </c>
      <c r="E8" s="11" t="inlineStr">
        <is>
          <t>Ngày hiệu lực = 13/03/2026; Kỳ hạn = 90 ngày</t>
        </is>
      </c>
      <c r="F8" s="11" t="inlineStr">
        <is>
          <t>1. Kiểm tra Ngày đáo hạn tự động</t>
        </is>
      </c>
      <c r="G8" s="11" t="inlineStr">
        <is>
          <t>Ngày đáo hạn = 11/06/2026 (13/03 + 90 ngày)</t>
        </is>
      </c>
      <c r="H8" s="12" t="inlineStr">
        <is>
          <t>Happy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MM-LN-008</t>
        </is>
      </c>
      <c r="C9" s="15" t="inlineStr">
        <is>
          <t>Ngày tháng</t>
        </is>
      </c>
      <c r="D9" s="15" t="inlineStr">
        <is>
          <t>Kỳ hạn = 0 → BLOCK</t>
        </is>
      </c>
      <c r="E9" s="15" t="inlineStr">
        <is>
          <t>Kỳ hạn = 0</t>
        </is>
      </c>
      <c r="F9" s="15" t="inlineStr">
        <is>
          <t>1. Nhập Kỳ hạn = 0
2. Lưu</t>
        </is>
      </c>
      <c r="G9" s="15" t="inlineStr">
        <is>
          <t>Hệ thống CHẶN: Kỳ hạn phải &gt; 0</t>
        </is>
      </c>
      <c r="H9" s="19" t="inlineStr">
        <is>
          <t>Negative</t>
        </is>
      </c>
      <c r="I9" s="16" t="inlineStr">
        <is>
          <t>High</t>
        </is>
      </c>
      <c r="J9" s="15" t="inlineStr"/>
    </row>
    <row r="10">
      <c r="A10" s="10" t="n">
        <v>9</v>
      </c>
      <c r="B10" s="11" t="inlineStr">
        <is>
          <t>MM-LN-009</t>
        </is>
      </c>
      <c r="C10" s="11" t="inlineStr">
        <is>
          <t>Ngày tháng</t>
        </is>
      </c>
      <c r="D10" s="11" t="inlineStr">
        <is>
          <t>Kỳ hạn âm → BLOCK</t>
        </is>
      </c>
      <c r="E10" s="11" t="inlineStr">
        <is>
          <t>Kỳ hạn = -30</t>
        </is>
      </c>
      <c r="F10" s="11" t="inlineStr">
        <is>
          <t>1. Nhập Kỳ hạn = -30</t>
        </is>
      </c>
      <c r="G10" s="11" t="inlineStr">
        <is>
          <t>Hệ thống CHẶN</t>
        </is>
      </c>
      <c r="H10" s="19" t="inlineStr">
        <is>
          <t>Negative</t>
        </is>
      </c>
      <c r="I10" s="16" t="inlineStr">
        <is>
          <t>High</t>
        </is>
      </c>
      <c r="J10" s="11" t="inlineStr"/>
    </row>
    <row r="11">
      <c r="A11" s="14" t="n">
        <v>10</v>
      </c>
      <c r="B11" s="15" t="inlineStr">
        <is>
          <t>MM-LN-010</t>
        </is>
      </c>
      <c r="C11" s="15" t="inlineStr">
        <is>
          <t>Định dạng</t>
        </is>
      </c>
      <c r="D11" s="15" t="inlineStr">
        <is>
          <t>VND không thập phân, USD 2 thập phân</t>
        </is>
      </c>
      <c r="E11" s="15" t="inlineStr">
        <is>
          <t>VND: Lãi = 1,109,589,041.23... ; USD: Lãi = 43,750.005...</t>
        </is>
      </c>
      <c r="F11" s="15" t="inlineStr">
        <is>
          <t>1. Kiểm tra hiển thị</t>
        </is>
      </c>
      <c r="G11" s="15" t="inlineStr">
        <is>
          <t>VND → 1,109,589,041 VND (làm tròn, không .xx)
USD → 43,750.01 USD (2 decimal)</t>
        </is>
      </c>
      <c r="H11" s="18" t="inlineStr">
        <is>
          <t>Edge</t>
        </is>
      </c>
      <c r="I11" s="13" t="inlineStr">
        <is>
          <t>Critical</t>
        </is>
      </c>
      <c r="J11" s="15" t="inlineStr">
        <is>
          <t>BRD: VND không thập phân, USD 2 decimal</t>
        </is>
      </c>
    </row>
    <row r="12">
      <c r="A12" s="10" t="n">
        <v>11</v>
      </c>
      <c r="B12" s="11" t="inlineStr">
        <is>
          <t>MM-LN-011</t>
        </is>
      </c>
      <c r="C12" s="11" t="inlineStr">
        <is>
          <t>Luồng duyệt</t>
        </is>
      </c>
      <c r="D12" s="11" t="inlineStr">
        <is>
          <t>MM Liên NH CÓ qua QLRR (khác FX, GTCG)</t>
        </is>
      </c>
      <c r="E12" s="11" t="inlineStr">
        <is>
          <t>GD MM Liên NH</t>
        </is>
      </c>
      <c r="F12" s="11" t="inlineStr">
        <is>
          <t>1. CV → TP → GĐ → CV QLRR (cấp 1) → TPB QLRR (cấp 2) → KTTC (2 cấp) → TTQT (nếu có) → Hoàn thành</t>
        </is>
      </c>
      <c r="G12" s="11" t="inlineStr">
        <is>
          <t>MM Liên NH qua QLRR. Trạng thái 'Chờ QLRR' xuất hiện sau GĐ duyệt.</t>
        </is>
      </c>
      <c r="H12" s="12" t="inlineStr">
        <is>
          <t>Happy</t>
        </is>
      </c>
      <c r="I12" s="13" t="inlineStr">
        <is>
          <t>Critical</t>
        </is>
      </c>
      <c r="J12" s="11" t="inlineStr">
        <is>
          <t>CHỈ MM Liên NH qua QLRR</t>
        </is>
      </c>
    </row>
    <row r="13">
      <c r="A13" s="14" t="n">
        <v>12</v>
      </c>
      <c r="B13" s="15" t="inlineStr">
        <is>
          <t>MM-LN-012</t>
        </is>
      </c>
      <c r="C13" s="15" t="inlineStr">
        <is>
          <t>Ràng buộc</t>
        </is>
      </c>
      <c r="D13" s="15" t="inlineStr">
        <is>
          <t>Gốc = 0 → BLOCK</t>
        </is>
      </c>
      <c r="E13" s="15" t="inlineStr">
        <is>
          <t>Gốc = 0</t>
        </is>
      </c>
      <c r="F13" s="15" t="inlineStr">
        <is>
          <t>1. Nhập Gốc = 0
2. Lưu</t>
        </is>
      </c>
      <c r="G13" s="15" t="inlineStr">
        <is>
          <t>Hệ thống CHẶN: Số tiền gốc phải &gt; 0</t>
        </is>
      </c>
      <c r="H13" s="19" t="inlineStr">
        <is>
          <t>Negative</t>
        </is>
      </c>
      <c r="I13" s="16" t="inlineStr">
        <is>
          <t>High</t>
        </is>
      </c>
      <c r="J13" s="15" t="inlineStr"/>
    </row>
    <row r="14">
      <c r="A14" s="10" t="n">
        <v>13</v>
      </c>
      <c r="B14" s="11" t="inlineStr">
        <is>
          <t>MM-LN-013</t>
        </is>
      </c>
      <c r="C14" s="11" t="inlineStr">
        <is>
          <t>Ràng buộc</t>
        </is>
      </c>
      <c r="D14" s="11" t="inlineStr">
        <is>
          <t>Gốc âm → BLOCK</t>
        </is>
      </c>
      <c r="E14" s="11" t="inlineStr">
        <is>
          <t>Gốc = -100,000,000,000</t>
        </is>
      </c>
      <c r="F14" s="11" t="inlineStr">
        <is>
          <t>1. Nhập gốc âm</t>
        </is>
      </c>
      <c r="G14" s="11" t="inlineStr">
        <is>
          <t>Hệ thống CHẶN</t>
        </is>
      </c>
      <c r="H14" s="19" t="inlineStr">
        <is>
          <t>Negative</t>
        </is>
      </c>
      <c r="I14" s="16" t="inlineStr">
        <is>
          <t>High</t>
        </is>
      </c>
      <c r="J14" s="11" t="inlineStr"/>
    </row>
    <row r="15">
      <c r="A15" s="14" t="n">
        <v>14</v>
      </c>
      <c r="B15" s="15" t="inlineStr">
        <is>
          <t>MM-LN-014</t>
        </is>
      </c>
      <c r="C15" s="15" t="inlineStr">
        <is>
          <t>Ràng buộc</t>
        </is>
      </c>
      <c r="D15" s="15" t="inlineStr">
        <is>
          <t>Lãi suất = 0%</t>
        </is>
      </c>
      <c r="E15" s="15" t="inlineStr">
        <is>
          <t>LS = 0.00%</t>
        </is>
      </c>
      <c r="F15" s="15" t="inlineStr">
        <is>
          <t>1. Nhập LS = 0
2. Lưu</t>
        </is>
      </c>
      <c r="G15" s="15" t="inlineStr">
        <is>
          <t>GD tạo thành công. Lãi = 0. Tổng đáo hạn = Gốc.</t>
        </is>
      </c>
      <c r="H15" s="18" t="inlineStr">
        <is>
          <t>Edge</t>
        </is>
      </c>
      <c r="I15" s="17" t="inlineStr">
        <is>
          <t>Medium</t>
        </is>
      </c>
      <c r="J15" s="15" t="inlineStr">
        <is>
          <t>Cho phép LS = 0</t>
        </is>
      </c>
    </row>
    <row r="16">
      <c r="A16" s="10" t="n">
        <v>15</v>
      </c>
      <c r="B16" s="11" t="inlineStr">
        <is>
          <t>MM-LN-015</t>
        </is>
      </c>
      <c r="C16" s="11" t="inlineStr">
        <is>
          <t>Ràng buộc</t>
        </is>
      </c>
      <c r="D16" s="11" t="inlineStr">
        <is>
          <t>Lãi suất âm → BLOCK hoặc cho phép?</t>
        </is>
      </c>
      <c r="E16" s="11" t="inlineStr">
        <is>
          <t>LS = -1.00%</t>
        </is>
      </c>
      <c r="F16" s="11" t="inlineStr">
        <is>
          <t>1. Nhập LS âm</t>
        </is>
      </c>
      <c r="G16" s="11" t="inlineStr">
        <is>
          <t>Hệ thống CHẶN: Lãi suất phải ≥ 0</t>
        </is>
      </c>
      <c r="H16" s="19" t="inlineStr">
        <is>
          <t>Negative</t>
        </is>
      </c>
      <c r="I16" s="17" t="inlineStr">
        <is>
          <t>Medium</t>
        </is>
      </c>
      <c r="J16" s="11" t="inlineStr">
        <is>
          <t>Tùy nghiệp vụ</t>
        </is>
      </c>
    </row>
    <row r="17">
      <c r="A17" s="14" t="n">
        <v>16</v>
      </c>
      <c r="B17" s="15" t="inlineStr">
        <is>
          <t>MM-LN-016</t>
        </is>
      </c>
      <c r="C17" s="15" t="inlineStr">
        <is>
          <t>TSBĐ</t>
        </is>
      </c>
      <c r="D17" s="15" t="inlineStr">
        <is>
          <t>TSBĐ = Có → hiển thị 2 trường bổ sung</t>
        </is>
      </c>
      <c r="E17" s="15" t="inlineStr">
        <is>
          <t>TSBĐ = Có</t>
        </is>
      </c>
      <c r="F17" s="15" t="inlineStr">
        <is>
          <t>1. Chọn TSBĐ = Có
2. Kiểm tra</t>
        </is>
      </c>
      <c r="G17" s="15" t="inlineStr">
        <is>
          <t>Hiển thị: Loại TSBĐ (dropdown VND/USD) + Giá trị TSBĐ (text)</t>
        </is>
      </c>
      <c r="H17" s="12" t="inlineStr">
        <is>
          <t>Happy</t>
        </is>
      </c>
      <c r="I17" s="16" t="inlineStr">
        <is>
          <t>High</t>
        </is>
      </c>
      <c r="J17" s="15" t="inlineStr"/>
    </row>
    <row r="18">
      <c r="A18" s="10" t="n">
        <v>17</v>
      </c>
      <c r="B18" s="11" t="inlineStr">
        <is>
          <t>MM-LN-017</t>
        </is>
      </c>
      <c r="C18" s="11" t="inlineStr">
        <is>
          <t>TSBĐ</t>
        </is>
      </c>
      <c r="D18" s="11" t="inlineStr">
        <is>
          <t>TSBĐ = Không → ẩn 2 trường bổ sung</t>
        </is>
      </c>
      <c r="E18" s="11" t="inlineStr">
        <is>
          <t>TSBĐ = Không</t>
        </is>
      </c>
      <c r="F18" s="11" t="inlineStr">
        <is>
          <t>1. Chọn TSBĐ = Không
2. Kiểm tra</t>
        </is>
      </c>
      <c r="G18" s="11" t="inlineStr">
        <is>
          <t>2 trường Loại TSBĐ và Giá trị TSBĐ KHÔNG hiển thị</t>
        </is>
      </c>
      <c r="H18" s="12" t="inlineStr">
        <is>
          <t>Happy</t>
        </is>
      </c>
      <c r="I18" s="17" t="inlineStr">
        <is>
          <t>Medium</t>
        </is>
      </c>
      <c r="J18" s="11" t="inlineStr"/>
    </row>
    <row r="19">
      <c r="A19" s="14" t="n">
        <v>18</v>
      </c>
      <c r="B19" s="15" t="inlineStr">
        <is>
          <t>MM-LN-018</t>
        </is>
      </c>
      <c r="C19" s="15" t="inlineStr">
        <is>
          <t>Trường tự động</t>
        </is>
      </c>
      <c r="D19" s="15" t="inlineStr">
        <is>
          <t>Swift code tự động theo Đối tác</t>
        </is>
      </c>
      <c r="E19" s="15" t="inlineStr">
        <is>
          <t>Đối tác = MSB có SWIFT = MCOBVNVX</t>
        </is>
      </c>
      <c r="F19" s="15" t="inlineStr">
        <is>
          <t>1. Chọn Đối tác = MSB
2. Kiểm tra Swift code</t>
        </is>
      </c>
      <c r="G19" s="15" t="inlineStr">
        <is>
          <t>Swift code = MCOBVNVX (tự động)</t>
        </is>
      </c>
      <c r="H19" s="12" t="inlineStr">
        <is>
          <t>Happy</t>
        </is>
      </c>
      <c r="I19" s="17" t="inlineStr">
        <is>
          <t>Medium</t>
        </is>
      </c>
      <c r="J19" s="15" t="inlineStr"/>
    </row>
    <row r="20">
      <c r="A20" s="10" t="n">
        <v>19</v>
      </c>
      <c r="B20" s="11" t="inlineStr">
        <is>
          <t>MM-LN-019</t>
        </is>
      </c>
      <c r="C20" s="11" t="inlineStr">
        <is>
          <t>Luồng duyệt</t>
        </is>
      </c>
      <c r="D20" s="11" t="inlineStr">
        <is>
          <t>CV QLRR từ chối hạn mức → Hủy giao dịch</t>
        </is>
      </c>
      <c r="E20" s="11" t="inlineStr">
        <is>
          <t>GD ở Chờ QLRR</t>
        </is>
      </c>
      <c r="F20" s="11" t="inlineStr">
        <is>
          <t>1. CV QLRR nhấn Không đồng ý
2. Popup → lý do → Xác nhận</t>
        </is>
      </c>
      <c r="G20" s="11" t="inlineStr">
        <is>
          <t>GD = Hủy giao dịch. Notify CV K.NV.</t>
        </is>
      </c>
      <c r="H20" s="12" t="inlineStr">
        <is>
          <t>Happy</t>
        </is>
      </c>
      <c r="I20" s="13" t="inlineStr">
        <is>
          <t>Critical</t>
        </is>
      </c>
      <c r="J20" s="11" t="inlineStr"/>
    </row>
    <row r="21">
      <c r="A21" s="14" t="n">
        <v>20</v>
      </c>
      <c r="B21" s="15" t="inlineStr">
        <is>
          <t>MM-LN-020</t>
        </is>
      </c>
      <c r="C21" s="15" t="inlineStr">
        <is>
          <t>Luồng duyệt</t>
        </is>
      </c>
      <c r="D21" s="15" t="inlineStr">
        <is>
          <t>TPB QLRR từ chối hạn mức → Hủy giao dịch</t>
        </is>
      </c>
      <c r="E21" s="15" t="inlineStr">
        <is>
          <t>GD ở Chờ QLRR (CV QLRR đã duyệt cấp 1)</t>
        </is>
      </c>
      <c r="F21" s="15" t="inlineStr">
        <is>
          <t>1. TPB QLRR từ chối
2. Popup → lý do → Xác nhận</t>
        </is>
      </c>
      <c r="G21" s="15" t="inlineStr">
        <is>
          <t>GD = Hủy giao dịch.</t>
        </is>
      </c>
      <c r="H21" s="12" t="inlineStr">
        <is>
          <t>Happy</t>
        </is>
      </c>
      <c r="I21" s="13" t="inlineStr">
        <is>
          <t>Critical</t>
        </is>
      </c>
      <c r="J21" s="15" t="inlineStr"/>
    </row>
    <row r="22">
      <c r="A22" s="10" t="n">
        <v>21</v>
      </c>
      <c r="B22" s="11" t="inlineStr">
        <is>
          <t>MM-LN-021</t>
        </is>
      </c>
      <c r="C22" s="11" t="inlineStr">
        <is>
          <t>Chỉ dẫn TT</t>
        </is>
      </c>
      <c r="D22" s="11" t="inlineStr">
        <is>
          <t>Chỉ dẫn TT đối tác tự động theo Đối tác + Loại tiền</t>
        </is>
      </c>
      <c r="E22" s="11" t="inlineStr">
        <is>
          <t>Đối tác MSB, Loại tiền VND</t>
        </is>
      </c>
      <c r="F22" s="11" t="inlineStr">
        <is>
          <t>1. Chọn Đối tác = MSB, Loại tiền = VND
2. Kiểm tra Chỉ dẫn TT</t>
        </is>
      </c>
      <c r="G22" s="11" t="inlineStr">
        <is>
          <t>Chỉ dẫn TT tự động điền. Cho phép chỉnh sửa tay.</t>
        </is>
      </c>
      <c r="H22" s="12" t="inlineStr">
        <is>
          <t>Happy</t>
        </is>
      </c>
      <c r="I22" s="17" t="inlineStr">
        <is>
          <t>Medium</t>
        </is>
      </c>
      <c r="J22" s="11" t="inlineStr"/>
    </row>
    <row r="23">
      <c r="A23" s="14" t="n">
        <v>22</v>
      </c>
      <c r="B23" s="15" t="inlineStr">
        <is>
          <t>MM-LN-022</t>
        </is>
      </c>
      <c r="C23" s="15" t="inlineStr">
        <is>
          <t>Chiều GD</t>
        </is>
      </c>
      <c r="D23" s="15" t="inlineStr">
        <is>
          <t>Tạo GD 'Nhận tiền gửi' thành công</t>
        </is>
      </c>
      <c r="E23" s="15" t="inlineStr">
        <is>
          <t>Chiều = Nhận tiền gửi</t>
        </is>
      </c>
      <c r="F23" s="15" t="inlineStr">
        <is>
          <t>1. Chọn Chiều = Nhận tiền gửi
2. Điền đầy đủ
3. Lưu</t>
        </is>
      </c>
      <c r="G23" s="15" t="inlineStr">
        <is>
          <t>GD thành công. Chiều = Nhận tiền gửi.</t>
        </is>
      </c>
      <c r="H23" s="12" t="inlineStr">
        <is>
          <t>Happy</t>
        </is>
      </c>
      <c r="I23" s="16" t="inlineStr">
        <is>
          <t>High</t>
        </is>
      </c>
      <c r="J23" s="15" t="inlineStr"/>
    </row>
    <row r="24">
      <c r="A24" s="10" t="n">
        <v>23</v>
      </c>
      <c r="B24" s="11" t="inlineStr">
        <is>
          <t>MM-LN-023</t>
        </is>
      </c>
      <c r="C24" s="11" t="inlineStr">
        <is>
          <t>Chiều GD</t>
        </is>
      </c>
      <c r="D24" s="11" t="inlineStr">
        <is>
          <t>Tạo GD 'Cho vay' thành công</t>
        </is>
      </c>
      <c r="E24" s="11" t="inlineStr">
        <is>
          <t>Chiều = Cho vay</t>
        </is>
      </c>
      <c r="F24" s="11" t="inlineStr">
        <is>
          <t>1. Chọn Cho vay
2. Lưu</t>
        </is>
      </c>
      <c r="G24" s="11" t="inlineStr">
        <is>
          <t>GD thành công</t>
        </is>
      </c>
      <c r="H24" s="12" t="inlineStr">
        <is>
          <t>Happy</t>
        </is>
      </c>
      <c r="I24" s="16" t="inlineStr">
        <is>
          <t>High</t>
        </is>
      </c>
      <c r="J24" s="11" t="inlineStr"/>
    </row>
    <row r="25">
      <c r="A25" s="14" t="n">
        <v>24</v>
      </c>
      <c r="B25" s="15" t="inlineStr">
        <is>
          <t>MM-LN-024</t>
        </is>
      </c>
      <c r="C25" s="15" t="inlineStr">
        <is>
          <t>Chiều GD</t>
        </is>
      </c>
      <c r="D25" s="15" t="inlineStr">
        <is>
          <t>Tạo GD 'Vay' thành công</t>
        </is>
      </c>
      <c r="E25" s="15" t="inlineStr">
        <is>
          <t>Chiều = Vay</t>
        </is>
      </c>
      <c r="F25" s="15" t="inlineStr">
        <is>
          <t>1. Chọn Vay
2. Lưu</t>
        </is>
      </c>
      <c r="G25" s="15" t="inlineStr">
        <is>
          <t>GD thành công</t>
        </is>
      </c>
      <c r="H25" s="12" t="inlineStr">
        <is>
          <t>Happy</t>
        </is>
      </c>
      <c r="I25" s="16" t="inlineStr">
        <is>
          <t>High</t>
        </is>
      </c>
      <c r="J25" s="15" t="inlineStr"/>
    </row>
    <row r="26">
      <c r="A26" s="10" t="n">
        <v>25</v>
      </c>
      <c r="B26" s="11" t="inlineStr">
        <is>
          <t>MM-LN-025</t>
        </is>
      </c>
      <c r="C26" s="11" t="inlineStr">
        <is>
          <t>Công thức</t>
        </is>
      </c>
      <c r="D26" s="11" t="inlineStr">
        <is>
          <t>Division by zero: Day count = 0 (nếu có bug)</t>
        </is>
      </c>
      <c r="E26" s="11" t="inlineStr">
        <is>
          <t>Giả sử Day count base = 0 do lỗi</t>
        </is>
      </c>
      <c r="F26" s="11" t="inlineStr">
        <is>
          <t>1. Kiểm tra xử lý chia cho 0 trong công thức lãi</t>
        </is>
      </c>
      <c r="G26" s="11" t="inlineStr">
        <is>
          <t>Hệ thống KHÔNG crash. Hiển thị lỗi hoặc dùng default base.</t>
        </is>
      </c>
      <c r="H26" s="18" t="inlineStr">
        <is>
          <t>Edge</t>
        </is>
      </c>
      <c r="I26" s="16" t="inlineStr">
        <is>
          <t>High</t>
        </is>
      </c>
      <c r="J26" s="11" t="inlineStr"/>
    </row>
    <row r="27">
      <c r="A27" s="14" t="n">
        <v>26</v>
      </c>
      <c r="B27" s="15" t="inlineStr">
        <is>
          <t>MM-LN-026</t>
        </is>
      </c>
      <c r="C27" s="15" t="inlineStr">
        <is>
          <t>Workflow</t>
        </is>
      </c>
      <c r="D27" s="15" t="inlineStr">
        <is>
          <t>CV sửa MM sau TP duyệt → BLOCK</t>
        </is>
      </c>
      <c r="E27" s="15" t="inlineStr">
        <is>
          <t>GD ở Chờ K.NV duyệt</t>
        </is>
      </c>
      <c r="F27" s="15" t="inlineStr">
        <is>
          <t>1. CV cố sửa</t>
        </is>
      </c>
      <c r="G27" s="15" t="inlineStr">
        <is>
          <t>CHẶN</t>
        </is>
      </c>
      <c r="H27" s="19" t="inlineStr">
        <is>
          <t>Negative</t>
        </is>
      </c>
      <c r="I27" s="13" t="inlineStr">
        <is>
          <t>Critical</t>
        </is>
      </c>
      <c r="J27" s="15" t="inlineStr"/>
    </row>
    <row r="28">
      <c r="A28" s="10" t="n">
        <v>27</v>
      </c>
      <c r="B28" s="11" t="inlineStr">
        <is>
          <t>MM-LN-027</t>
        </is>
      </c>
      <c r="C28" s="11" t="inlineStr">
        <is>
          <t>Số lớn</t>
        </is>
      </c>
      <c r="D28" s="11" t="inlineStr">
        <is>
          <t>Gốc = 1 nghìn tỷ VND, kiểm tra overflow lãi</t>
        </is>
      </c>
      <c r="E28" s="11" t="inlineStr">
        <is>
          <t>Gốc = 1,000,000,000,000 VND; LS = 10%; 365 ngày; Actual/365</t>
        </is>
      </c>
      <c r="F28" s="11" t="inlineStr">
        <is>
          <t>1. Kiểm tra Lãi</t>
        </is>
      </c>
      <c r="G28" s="11" t="inlineStr">
        <is>
          <t>Lãi = 1,000,000,000,000 × 10/100 × 365/365 = 100,000,000,000 VND. Không overflow.</t>
        </is>
      </c>
      <c r="H28" s="18" t="inlineStr">
        <is>
          <t>Edge</t>
        </is>
      </c>
      <c r="I28" s="16" t="inlineStr">
        <is>
          <t>High</t>
        </is>
      </c>
      <c r="J28" s="11" t="inlineStr"/>
    </row>
    <row r="29">
      <c r="A29" s="14" t="n">
        <v>28</v>
      </c>
      <c r="B29" s="15" t="inlineStr">
        <is>
          <t>MM-LN-028</t>
        </is>
      </c>
      <c r="C29" s="15" t="inlineStr">
        <is>
          <t>Đáo hạn</t>
        </is>
      </c>
      <c r="D29" s="15" t="inlineStr">
        <is>
          <t>Hiển thị GD đến hạn trên danh sách (theo ngày đáo hạn)</t>
        </is>
      </c>
      <c r="E29" s="15" t="inlineStr">
        <is>
          <t>GD MM có Ngày đáo hạn = TODAY</t>
        </is>
      </c>
      <c r="F29" s="15" t="inlineStr">
        <is>
          <t>1. Kiểm tra danh sách MM
2. Lọc theo Ngày đáo hạn = TODAY</t>
        </is>
      </c>
      <c r="G29" s="15" t="inlineStr">
        <is>
          <t>GD hiển thị trong danh sách đáo hạn hôm nay</t>
        </is>
      </c>
      <c r="H29" s="12" t="inlineStr">
        <is>
          <t>Happy</t>
        </is>
      </c>
      <c r="I29" s="16" t="inlineStr">
        <is>
          <t>High</t>
        </is>
      </c>
      <c r="J29" s="15" t="inlineStr">
        <is>
          <t>Chỉ hiển thị, không tự tạo GD mới</t>
        </is>
      </c>
    </row>
    <row r="30">
      <c r="A30" s="10" t="n">
        <v>29</v>
      </c>
      <c r="B30" s="11" t="inlineStr">
        <is>
          <t>MM-LN-029</t>
        </is>
      </c>
      <c r="C30" s="11" t="inlineStr">
        <is>
          <t>TTQT</t>
        </is>
      </c>
      <c r="D30" s="11" t="inlineStr">
        <is>
          <t>MM Gửi tiền có TTQT = Có → qua TTQT</t>
        </is>
      </c>
      <c r="E30" s="11" t="inlineStr">
        <is>
          <t>GD Gửi tiền, TTQT = Có</t>
        </is>
      </c>
      <c r="F30" s="11" t="inlineStr">
        <is>
          <t>1. Hoàn thành luồng duyệt
2. Kiểm tra TTQT</t>
        </is>
      </c>
      <c r="G30" s="11" t="inlineStr">
        <is>
          <t>GD xuất hiện trên TTQT khi Ngày hiệu lực = TODAY</t>
        </is>
      </c>
      <c r="H30" s="12" t="inlineStr">
        <is>
          <t>Happy</t>
        </is>
      </c>
      <c r="I30" s="16" t="inlineStr">
        <is>
          <t>High</t>
        </is>
      </c>
      <c r="J30" s="11" t="inlineStr"/>
    </row>
    <row r="31">
      <c r="A31" s="14" t="n">
        <v>30</v>
      </c>
      <c r="B31" s="15" t="inlineStr">
        <is>
          <t>MM-LN-030</t>
        </is>
      </c>
      <c r="C31" s="15" t="inlineStr">
        <is>
          <t>Qua năm</t>
        </is>
      </c>
      <c r="D31" s="15" t="inlineStr">
        <is>
          <t>GD MM qua năm (hiệu lực 2026, đáo hạn 2027)</t>
        </is>
      </c>
      <c r="E31" s="15" t="inlineStr">
        <is>
          <t>Ngày hiệu lực = 15/12/2026; Kỳ hạn = 90 ngày</t>
        </is>
      </c>
      <c r="F31" s="15" t="inlineStr">
        <is>
          <t>1. Kiểm tra Ngày đáo hạn</t>
        </is>
      </c>
      <c r="G31" s="15" t="inlineStr">
        <is>
          <t>Ngày đáo hạn = 15/03/2027. Tính đúng qua năm.</t>
        </is>
      </c>
      <c r="H31" s="18" t="inlineStr">
        <is>
          <t>Edge</t>
        </is>
      </c>
      <c r="I31" s="17" t="inlineStr">
        <is>
          <t>Medium</t>
        </is>
      </c>
      <c r="J31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MM-OMO-001</t>
        </is>
      </c>
      <c r="C2" s="11" t="inlineStr">
        <is>
          <t>Tạo GD</t>
        </is>
      </c>
      <c r="D2" s="11" t="inlineStr">
        <is>
          <t>Tạo GD OMO thành công</t>
        </is>
      </c>
      <c r="E2" s="11" t="inlineStr">
        <is>
          <t>CV K.NV; Đối tác tự động = 'Sở giao dịch NHNN'</t>
        </is>
      </c>
      <c r="F2" s="11" t="inlineStr">
        <is>
          <t>1. Phiên GD = Phiên 1
2. Chọn Mã TP
3. LS trúng thầu = 3.50%
4. Kỳ hạn = 14 ngày
5. Ngày TT 1 &amp; TT 2
6. Hair cut = 5%
7. Lưu</t>
        </is>
      </c>
      <c r="G2" s="11" t="inlineStr">
        <is>
          <t>GD tạo thành công. Đối tác = Sở giao dịch NHNN (cố định).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MM-OMO-002</t>
        </is>
      </c>
      <c r="C3" s="15" t="inlineStr">
        <is>
          <t>Đối tác</t>
        </is>
      </c>
      <c r="D3" s="15" t="inlineStr">
        <is>
          <t>Đối tác OMO cố định = Sở giao dịch NHNN</t>
        </is>
      </c>
      <c r="E3" s="15" t="inlineStr">
        <is>
          <t>Tạo GD OMO</t>
        </is>
      </c>
      <c r="F3" s="15" t="inlineStr">
        <is>
          <t>1. Kiểm tra trường Đối tác</t>
        </is>
      </c>
      <c r="G3" s="15" t="inlineStr">
        <is>
          <t>Đối tác tự động = 'Sở giao dịch NHNN'. Không cho sửa.</t>
        </is>
      </c>
      <c r="H3" s="12" t="inlineStr">
        <is>
          <t>Happy</t>
        </is>
      </c>
      <c r="I3" s="16" t="inlineStr">
        <is>
          <t>High</t>
        </is>
      </c>
      <c r="J3" s="15" t="inlineStr"/>
    </row>
    <row r="4">
      <c r="A4" s="10" t="n">
        <v>3</v>
      </c>
      <c r="B4" s="11" t="inlineStr">
        <is>
          <t>MM-OMO-003</t>
        </is>
      </c>
      <c r="C4" s="11" t="inlineStr">
        <is>
          <t>Trường tự động</t>
        </is>
      </c>
      <c r="D4" s="11" t="inlineStr">
        <is>
          <t>TCPH, LS coupon, Ngày đáo hạn TP tự động từ danh mục</t>
        </is>
      </c>
      <c r="E4" s="11" t="inlineStr">
        <is>
          <t>Mã TP = TD2135068</t>
        </is>
      </c>
      <c r="F4" s="11" t="inlineStr">
        <is>
          <t>1. Chọn Mã TP
2. Kiểm tra trường tự động</t>
        </is>
      </c>
      <c r="G4" s="11" t="inlineStr">
        <is>
          <t>TCPH, LS coupon, Ngày đáo hạn tự động điền từ danh mục</t>
        </is>
      </c>
      <c r="H4" s="12" t="inlineStr">
        <is>
          <t>Happy</t>
        </is>
      </c>
      <c r="I4" s="16" t="inlineStr">
        <is>
          <t>High</t>
        </is>
      </c>
      <c r="J4" s="11" t="inlineStr"/>
    </row>
    <row r="5">
      <c r="A5" s="14" t="n">
        <v>4</v>
      </c>
      <c r="B5" s="15" t="inlineStr">
        <is>
          <t>MM-OMO-004</t>
        </is>
      </c>
      <c r="C5" s="15" t="inlineStr">
        <is>
          <t>Luồng duyệt</t>
        </is>
      </c>
      <c r="D5" s="15" t="inlineStr">
        <is>
          <t>OMO KHÔNG qua QLRR, KHÔNG qua TTQT</t>
        </is>
      </c>
      <c r="E5" s="15" t="inlineStr">
        <is>
          <t>GD OMO</t>
        </is>
      </c>
      <c r="F5" s="15" t="inlineStr">
        <is>
          <t>1. CV → TP → GĐ → KTTC (2 cấp) → Hoàn thành</t>
        </is>
      </c>
      <c r="G5" s="15" t="inlineStr">
        <is>
          <t>KHÔNG có Chờ QLRR. KHÔNG có Chờ TTQT.</t>
        </is>
      </c>
      <c r="H5" s="12" t="inlineStr">
        <is>
          <t>Happy</t>
        </is>
      </c>
      <c r="I5" s="13" t="inlineStr">
        <is>
          <t>Critical</t>
        </is>
      </c>
      <c r="J5" s="15" t="inlineStr">
        <is>
          <t>BRD v3: OMO không qua QLRR, TTQT</t>
        </is>
      </c>
    </row>
    <row r="6">
      <c r="A6" s="10" t="n">
        <v>5</v>
      </c>
      <c r="B6" s="11" t="inlineStr">
        <is>
          <t>MM-OMO-005</t>
        </is>
      </c>
      <c r="C6" s="11" t="inlineStr">
        <is>
          <t>Hạn mức</t>
        </is>
      </c>
      <c r="D6" s="11" t="inlineStr">
        <is>
          <t>OMO KHÔNG chiếm hạn mức</t>
        </is>
      </c>
      <c r="E6" s="11" t="inlineStr">
        <is>
          <t>GD OMO đã hoàn thành</t>
        </is>
      </c>
      <c r="F6" s="11" t="inlineStr">
        <is>
          <t>1. Kiểm tra Module 4 Hạn mức</t>
        </is>
      </c>
      <c r="G6" s="11" t="inlineStr">
        <is>
          <t>GD OMO KHÔNG xuất hiện trong hạn mức đã sử dụng</t>
        </is>
      </c>
      <c r="H6" s="12" t="inlineStr">
        <is>
          <t>Happy</t>
        </is>
      </c>
      <c r="I6" s="16" t="inlineStr">
        <is>
          <t>High</t>
        </is>
      </c>
      <c r="J6" s="11" t="inlineStr">
        <is>
          <t>BRD v3: OMO không chiếm hạn mức</t>
        </is>
      </c>
    </row>
    <row r="7">
      <c r="A7" s="14" t="n">
        <v>6</v>
      </c>
      <c r="B7" s="15" t="inlineStr">
        <is>
          <t>MM-OMO-006</t>
        </is>
      </c>
      <c r="C7" s="15" t="inlineStr">
        <is>
          <t>Ngày tháng</t>
        </is>
      </c>
      <c r="D7" s="15" t="inlineStr">
        <is>
          <t>Ngày TT 2 phải sau Ngày TT 1</t>
        </is>
      </c>
      <c r="E7" s="15" t="inlineStr">
        <is>
          <t>Ngày TT 1 = 13/03/2026; Ngày TT 2 = 27/03/2026</t>
        </is>
      </c>
      <c r="F7" s="15" t="inlineStr">
        <is>
          <t>1. Nhập đúng thứ tự
2. Lưu</t>
        </is>
      </c>
      <c r="G7" s="15" t="inlineStr">
        <is>
          <t>GD thành công</t>
        </is>
      </c>
      <c r="H7" s="12" t="inlineStr">
        <is>
          <t>Happy</t>
        </is>
      </c>
      <c r="I7" s="16" t="inlineStr">
        <is>
          <t>High</t>
        </is>
      </c>
      <c r="J7" s="15" t="inlineStr"/>
    </row>
    <row r="8">
      <c r="A8" s="10" t="n">
        <v>7</v>
      </c>
      <c r="B8" s="11" t="inlineStr">
        <is>
          <t>MM-OMO-007</t>
        </is>
      </c>
      <c r="C8" s="11" t="inlineStr">
        <is>
          <t>Ngày tháng</t>
        </is>
      </c>
      <c r="D8" s="11" t="inlineStr">
        <is>
          <t>Ngày TT 2 trước Ngày TT 1 → BLOCK</t>
        </is>
      </c>
      <c r="E8" s="11" t="inlineStr">
        <is>
          <t>Ngày TT 1 = 27/03/2026; Ngày TT 2 = 13/03/2026</t>
        </is>
      </c>
      <c r="F8" s="11" t="inlineStr">
        <is>
          <t>1. Nhập ngày TT 2 trước TT 1
2. Lưu</t>
        </is>
      </c>
      <c r="G8" s="11" t="inlineStr">
        <is>
          <t>Hệ thống CHẶN: Ngày TT 2 phải sau Ngày TT 1</t>
        </is>
      </c>
      <c r="H8" s="19" t="inlineStr">
        <is>
          <t>Negative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MM-OMO-008</t>
        </is>
      </c>
      <c r="C9" s="15" t="inlineStr">
        <is>
          <t>Ràng buộc</t>
        </is>
      </c>
      <c r="D9" s="15" t="inlineStr">
        <is>
          <t>Kỳ hạn = 0 → BLOCK</t>
        </is>
      </c>
      <c r="E9" s="15" t="inlineStr">
        <is>
          <t>Kỳ hạn = 0</t>
        </is>
      </c>
      <c r="F9" s="15" t="inlineStr">
        <is>
          <t>1. Nhập Kỳ hạn = 0</t>
        </is>
      </c>
      <c r="G9" s="15" t="inlineStr">
        <is>
          <t>CHẶN</t>
        </is>
      </c>
      <c r="H9" s="19" t="inlineStr">
        <is>
          <t>Negative</t>
        </is>
      </c>
      <c r="I9" s="16" t="inlineStr">
        <is>
          <t>High</t>
        </is>
      </c>
      <c r="J9" s="15" t="inlineStr"/>
    </row>
    <row r="10">
      <c r="A10" s="10" t="n">
        <v>9</v>
      </c>
      <c r="B10" s="11" t="inlineStr">
        <is>
          <t>MM-OMO-009</t>
        </is>
      </c>
      <c r="C10" s="11" t="inlineStr">
        <is>
          <t>Ràng buộc</t>
        </is>
      </c>
      <c r="D10" s="11" t="inlineStr">
        <is>
          <t>Hair cut = 0% (cho phép?)</t>
        </is>
      </c>
      <c r="E10" s="11" t="inlineStr">
        <is>
          <t>Hair cut = 0%</t>
        </is>
      </c>
      <c r="F10" s="11" t="inlineStr">
        <is>
          <t>1. Nhập Hair cut = 0
2. Lưu</t>
        </is>
      </c>
      <c r="G10" s="11" t="inlineStr">
        <is>
          <t>Tùy nghiệp vụ: Cho phép hoặc cảnh báo</t>
        </is>
      </c>
      <c r="H10" s="18" t="inlineStr">
        <is>
          <t>Edge</t>
        </is>
      </c>
      <c r="I10" s="17" t="inlineStr">
        <is>
          <t>Medium</t>
        </is>
      </c>
      <c r="J10" s="11" t="inlineStr"/>
    </row>
    <row r="11">
      <c r="A11" s="14" t="n">
        <v>10</v>
      </c>
      <c r="B11" s="15" t="inlineStr">
        <is>
          <t>MM-OMO-010</t>
        </is>
      </c>
      <c r="C11" s="15" t="inlineStr">
        <is>
          <t>Ràng buộc</t>
        </is>
      </c>
      <c r="D11" s="15" t="inlineStr">
        <is>
          <t>Hair cut âm → BLOCK</t>
        </is>
      </c>
      <c r="E11" s="15" t="inlineStr">
        <is>
          <t>Hair cut = -5%</t>
        </is>
      </c>
      <c r="F11" s="15" t="inlineStr">
        <is>
          <t>1. Nhập Hair cut âm</t>
        </is>
      </c>
      <c r="G11" s="15" t="inlineStr">
        <is>
          <t>CHẶN</t>
        </is>
      </c>
      <c r="H11" s="19" t="inlineStr">
        <is>
          <t>Negative</t>
        </is>
      </c>
      <c r="I11" s="17" t="inlineStr">
        <is>
          <t>Medium</t>
        </is>
      </c>
      <c r="J11" s="15" t="inlineStr"/>
    </row>
    <row r="12">
      <c r="A12" s="10" t="n">
        <v>11</v>
      </c>
      <c r="B12" s="11" t="inlineStr">
        <is>
          <t>MM-OMO-011</t>
        </is>
      </c>
      <c r="C12" s="11" t="inlineStr">
        <is>
          <t>Ràng buộc</t>
        </is>
      </c>
      <c r="D12" s="11" t="inlineStr">
        <is>
          <t>LS trúng thầu = 0</t>
        </is>
      </c>
      <c r="E12" s="11" t="inlineStr">
        <is>
          <t>LS = 0</t>
        </is>
      </c>
      <c r="F12" s="11" t="inlineStr">
        <is>
          <t>1. Nhập LS = 0
2. Lưu</t>
        </is>
      </c>
      <c r="G12" s="11" t="inlineStr">
        <is>
          <t>Cho phép (tùy nghiệp vụ) hoặc CẢNH BÁO</t>
        </is>
      </c>
      <c r="H12" s="18" t="inlineStr">
        <is>
          <t>Edge</t>
        </is>
      </c>
      <c r="I12" s="17" t="inlineStr">
        <is>
          <t>Medium</t>
        </is>
      </c>
      <c r="J12" s="11" t="inlineStr"/>
    </row>
    <row r="13">
      <c r="A13" s="14" t="n">
        <v>12</v>
      </c>
      <c r="B13" s="15" t="inlineStr">
        <is>
          <t>MM-OMO-012</t>
        </is>
      </c>
      <c r="C13" s="15" t="inlineStr">
        <is>
          <t>Ràng buộc</t>
        </is>
      </c>
      <c r="D13" s="15" t="inlineStr">
        <is>
          <t>LS trúng thầu âm → BLOCK</t>
        </is>
      </c>
      <c r="E13" s="15" t="inlineStr">
        <is>
          <t>LS = -3.50%</t>
        </is>
      </c>
      <c r="F13" s="15" t="inlineStr">
        <is>
          <t>1. Nhập LS âm</t>
        </is>
      </c>
      <c r="G13" s="15" t="inlineStr">
        <is>
          <t>CHẶN</t>
        </is>
      </c>
      <c r="H13" s="19" t="inlineStr">
        <is>
          <t>Negative</t>
        </is>
      </c>
      <c r="I13" s="17" t="inlineStr">
        <is>
          <t>Medium</t>
        </is>
      </c>
      <c r="J13" s="15" t="inlineStr"/>
    </row>
    <row r="14">
      <c r="A14" s="10" t="n">
        <v>13</v>
      </c>
      <c r="B14" s="11" t="inlineStr">
        <is>
          <t>MM-OMO-013</t>
        </is>
      </c>
      <c r="C14" s="11" t="inlineStr">
        <is>
          <t>Luồng duyệt</t>
        </is>
      </c>
      <c r="D14" s="11" t="inlineStr">
        <is>
          <t>TP trả lại → Open → CV sửa</t>
        </is>
      </c>
      <c r="E14" s="11" t="inlineStr">
        <is>
          <t>GD OMO vừa submit</t>
        </is>
      </c>
      <c r="F14" s="11" t="inlineStr">
        <is>
          <t>1. TP trả lại
2. GD = Open
3. CV sửa</t>
        </is>
      </c>
      <c r="G14" s="11" t="inlineStr">
        <is>
          <t>GD quay về Open, CV chỉnh sửa được</t>
        </is>
      </c>
      <c r="H14" s="12" t="inlineStr">
        <is>
          <t>Happy</t>
        </is>
      </c>
      <c r="I14" s="16" t="inlineStr">
        <is>
          <t>High</t>
        </is>
      </c>
      <c r="J14" s="11" t="inlineStr"/>
    </row>
    <row r="15">
      <c r="A15" s="14" t="n">
        <v>14</v>
      </c>
      <c r="B15" s="15" t="inlineStr">
        <is>
          <t>MM-OMO-014</t>
        </is>
      </c>
      <c r="C15" s="15" t="inlineStr">
        <is>
          <t>Luồng duyệt</t>
        </is>
      </c>
      <c r="D15" s="15" t="inlineStr">
        <is>
          <t>GĐ từ chối OMO → Popup → Từ chối</t>
        </is>
      </c>
      <c r="E15" s="15" t="inlineStr">
        <is>
          <t>GD Chờ K.NV duyệt</t>
        </is>
      </c>
      <c r="F15" s="15" t="inlineStr">
        <is>
          <t>1. GĐ từ chối
2. Popup xác nhận</t>
        </is>
      </c>
      <c r="G15" s="15" t="inlineStr">
        <is>
          <t>GD = Từ chối. Notify CV.</t>
        </is>
      </c>
      <c r="H15" s="12" t="inlineStr">
        <is>
          <t>Happy</t>
        </is>
      </c>
      <c r="I15" s="13" t="inlineStr">
        <is>
          <t>Critical</t>
        </is>
      </c>
      <c r="J15" s="15" t="inlineStr"/>
    </row>
    <row r="16">
      <c r="A16" s="10" t="n">
        <v>15</v>
      </c>
      <c r="B16" s="11" t="inlineStr">
        <is>
          <t>MM-OMO-015</t>
        </is>
      </c>
      <c r="C16" s="11" t="inlineStr">
        <is>
          <t>Luồng duyệt</t>
        </is>
      </c>
      <c r="D16" s="11" t="inlineStr">
        <is>
          <t>CV KTTC cấp 1 từ chối OMO → Hủy giao dịch</t>
        </is>
      </c>
      <c r="E16" s="11" t="inlineStr">
        <is>
          <t>GD Chờ hạch toán</t>
        </is>
      </c>
      <c r="F16" s="11" t="inlineStr">
        <is>
          <t>1. CV KTTC từ chối
2. Popup → Xác nhận</t>
        </is>
      </c>
      <c r="G16" s="11" t="inlineStr">
        <is>
          <t>GD = Hủy giao dịch.</t>
        </is>
      </c>
      <c r="H16" s="12" t="inlineStr">
        <is>
          <t>Happy</t>
        </is>
      </c>
      <c r="I16" s="13" t="inlineStr">
        <is>
          <t>Critical</t>
        </is>
      </c>
      <c r="J16" s="11" t="inlineStr"/>
    </row>
    <row r="17">
      <c r="A17" s="14" t="n">
        <v>16</v>
      </c>
      <c r="B17" s="15" t="inlineStr">
        <is>
          <t>MM-OMO-016</t>
        </is>
      </c>
      <c r="C17" s="15" t="inlineStr">
        <is>
          <t>Luồng duyệt</t>
        </is>
      </c>
      <c r="D17" s="15" t="inlineStr">
        <is>
          <t>LĐ KTTC cấp 2 từ chối OMO → Hủy giao dịch</t>
        </is>
      </c>
      <c r="E17" s="15" t="inlineStr">
        <is>
          <t>GD Chờ LĐ KTTC duyệt</t>
        </is>
      </c>
      <c r="F17" s="15" t="inlineStr">
        <is>
          <t>1. LĐ KTTC từ chối</t>
        </is>
      </c>
      <c r="G17" s="15" t="inlineStr">
        <is>
          <t>GD = Hủy giao dịch.</t>
        </is>
      </c>
      <c r="H17" s="12" t="inlineStr">
        <is>
          <t>Happy</t>
        </is>
      </c>
      <c r="I17" s="13" t="inlineStr">
        <is>
          <t>Critical</t>
        </is>
      </c>
      <c r="J17" s="15" t="inlineStr"/>
    </row>
    <row r="18">
      <c r="A18" s="10" t="n">
        <v>17</v>
      </c>
      <c r="B18" s="11" t="inlineStr">
        <is>
          <t>MM-OMO-017</t>
        </is>
      </c>
      <c r="C18" s="11" t="inlineStr">
        <is>
          <t>Workflow</t>
        </is>
      </c>
      <c r="D18" s="11" t="inlineStr">
        <is>
          <t>CV sửa OMO sau TP duyệt → BLOCK</t>
        </is>
      </c>
      <c r="E18" s="11" t="inlineStr">
        <is>
          <t>GD ở Chờ K.NV duyệt</t>
        </is>
      </c>
      <c r="F18" s="11" t="inlineStr">
        <is>
          <t>1. CV cố sửa</t>
        </is>
      </c>
      <c r="G18" s="11" t="inlineStr">
        <is>
          <t>CHẶN</t>
        </is>
      </c>
      <c r="H18" s="19" t="inlineStr">
        <is>
          <t>Negative</t>
        </is>
      </c>
      <c r="I18" s="13" t="inlineStr">
        <is>
          <t>Critical</t>
        </is>
      </c>
      <c r="J18" s="11" t="inlineStr"/>
    </row>
    <row r="19">
      <c r="A19" s="14" t="n">
        <v>18</v>
      </c>
      <c r="B19" s="15" t="inlineStr">
        <is>
          <t>MM-OMO-018</t>
        </is>
      </c>
      <c r="C19" s="15" t="inlineStr">
        <is>
          <t>Ràng buộc</t>
        </is>
      </c>
      <c r="D19" s="15" t="inlineStr">
        <is>
          <t>Thiếu Phiên giao dịch → BLOCK</t>
        </is>
      </c>
      <c r="E19" s="15" t="inlineStr">
        <is>
          <t>Bỏ trống Phiên GD</t>
        </is>
      </c>
      <c r="F19" s="15" t="inlineStr">
        <is>
          <t>1. Lưu không có Phiên GD</t>
        </is>
      </c>
      <c r="G19" s="15" t="inlineStr">
        <is>
          <t>CHẶN: Phiên GD bắt buộc</t>
        </is>
      </c>
      <c r="H19" s="19" t="inlineStr">
        <is>
          <t>Negative</t>
        </is>
      </c>
      <c r="I19" s="16" t="inlineStr">
        <is>
          <t>High</t>
        </is>
      </c>
      <c r="J19" s="15" t="inlineStr"/>
    </row>
    <row r="20">
      <c r="A20" s="10" t="n">
        <v>19</v>
      </c>
      <c r="B20" s="11" t="inlineStr">
        <is>
          <t>MM-OMO-019</t>
        </is>
      </c>
      <c r="C20" s="11" t="inlineStr">
        <is>
          <t>Trường tìm kiếm</t>
        </is>
      </c>
      <c r="D20" s="11" t="inlineStr">
        <is>
          <t>Dropdown Mã TP có tìm kiếm</t>
        </is>
      </c>
      <c r="E20" s="11" t="inlineStr">
        <is>
          <t>Danh mục TP</t>
        </is>
      </c>
      <c r="F20" s="11" t="inlineStr">
        <is>
          <t>1. Nhập 'TD' vào Mã TP</t>
        </is>
      </c>
      <c r="G20" s="11" t="inlineStr">
        <is>
          <t>Gợi ý danh sách TP bắt đầu 'TD'</t>
        </is>
      </c>
      <c r="H20" s="12" t="inlineStr">
        <is>
          <t>Happy</t>
        </is>
      </c>
      <c r="I20" s="17" t="inlineStr">
        <is>
          <t>Medium</t>
        </is>
      </c>
      <c r="J20" s="11" t="inlineStr"/>
    </row>
    <row r="21">
      <c r="A21" s="14" t="n">
        <v>20</v>
      </c>
      <c r="B21" s="15" t="inlineStr">
        <is>
          <t>MM-OMO-020</t>
        </is>
      </c>
      <c r="C21" s="15" t="inlineStr">
        <is>
          <t>File</t>
        </is>
      </c>
      <c r="D21" s="15" t="inlineStr">
        <is>
          <t>Upload file cho OMO</t>
        </is>
      </c>
      <c r="E21" s="15" t="inlineStr">
        <is>
          <t>File ticket</t>
        </is>
      </c>
      <c r="F21" s="15" t="inlineStr">
        <is>
          <t>1. Upload file
2. Lưu</t>
        </is>
      </c>
      <c r="G21" s="15" t="inlineStr">
        <is>
          <t>File lưu thành công</t>
        </is>
      </c>
      <c r="H21" s="12" t="inlineStr">
        <is>
          <t>Happy</t>
        </is>
      </c>
      <c r="I21" s="20" t="inlineStr">
        <is>
          <t>Low</t>
        </is>
      </c>
      <c r="J21" s="15" t="inlineStr"/>
    </row>
    <row r="22">
      <c r="A22" s="10" t="n">
        <v>21</v>
      </c>
      <c r="B22" s="11" t="inlineStr">
        <is>
          <t>MM-OMO-021</t>
        </is>
      </c>
      <c r="C22" s="11" t="inlineStr">
        <is>
          <t>Ràng buộc</t>
        </is>
      </c>
      <c r="D22" s="11" t="inlineStr">
        <is>
          <t>Thiếu Mã TP → BLOCK</t>
        </is>
      </c>
      <c r="E22" s="11" t="inlineStr">
        <is>
          <t>Bỏ trống Mã TP</t>
        </is>
      </c>
      <c r="F22" s="11" t="inlineStr">
        <is>
          <t>1. Lưu</t>
        </is>
      </c>
      <c r="G22" s="11" t="inlineStr">
        <is>
          <t>CHẶN</t>
        </is>
      </c>
      <c r="H22" s="19" t="inlineStr">
        <is>
          <t>Negative</t>
        </is>
      </c>
      <c r="I22" s="16" t="inlineStr">
        <is>
          <t>High</t>
        </is>
      </c>
      <c r="J22" s="11" t="inlineStr"/>
    </row>
    <row r="23">
      <c r="A23" s="14" t="n">
        <v>22</v>
      </c>
      <c r="B23" s="15" t="inlineStr">
        <is>
          <t>MM-OMO-022</t>
        </is>
      </c>
      <c r="C23" s="15" t="inlineStr">
        <is>
          <t>Ngày tháng</t>
        </is>
      </c>
      <c r="D23" s="15" t="inlineStr">
        <is>
          <t>Ngày GD mặc định TODAY</t>
        </is>
      </c>
      <c r="E23" s="15" t="inlineStr">
        <is>
          <t>Mở form tạo OMO</t>
        </is>
      </c>
      <c r="F23" s="15" t="inlineStr">
        <is>
          <t>1. Kiểm tra Ngày GD</t>
        </is>
      </c>
      <c r="G23" s="15" t="inlineStr">
        <is>
          <t>Ngày GD = TODAY (mặc định)</t>
        </is>
      </c>
      <c r="H23" s="12" t="inlineStr">
        <is>
          <t>Happy</t>
        </is>
      </c>
      <c r="I23" s="20" t="inlineStr">
        <is>
          <t>Low</t>
        </is>
      </c>
      <c r="J23" s="15" t="inlineStr"/>
    </row>
    <row r="24">
      <c r="A24" s="10" t="n">
        <v>23</v>
      </c>
      <c r="B24" s="11" t="inlineStr">
        <is>
          <t>MM-OMO-023</t>
        </is>
      </c>
      <c r="C24" s="11" t="inlineStr">
        <is>
          <t>Trạng thái</t>
        </is>
      </c>
      <c r="D24" s="11" t="inlineStr">
        <is>
          <t>OMO không có trạng thái Chờ QLRR</t>
        </is>
      </c>
      <c r="E24" s="11" t="inlineStr">
        <is>
          <t>GD OMO đi qua tất cả bước</t>
        </is>
      </c>
      <c r="F24" s="11" t="inlineStr">
        <is>
          <t>1. Kiểm tra danh sách trạng thái</t>
        </is>
      </c>
      <c r="G24" s="11" t="inlineStr">
        <is>
          <t>Không tồn tại trạng thái 'Chờ QLRR' cho OMO</t>
        </is>
      </c>
      <c r="H24" s="19" t="inlineStr">
        <is>
          <t>Negative</t>
        </is>
      </c>
      <c r="I24" s="13" t="inlineStr">
        <is>
          <t>Critical</t>
        </is>
      </c>
      <c r="J24" s="11" t="inlineStr">
        <is>
          <t>Nếu có → BUG</t>
        </is>
      </c>
    </row>
    <row r="25">
      <c r="A25" s="14" t="n">
        <v>24</v>
      </c>
      <c r="B25" s="15" t="inlineStr">
        <is>
          <t>MM-OMO-024</t>
        </is>
      </c>
      <c r="C25" s="15" t="inlineStr">
        <is>
          <t>Trạng thái</t>
        </is>
      </c>
      <c r="D25" s="15" t="inlineStr">
        <is>
          <t>OMO không có trạng thái Chờ TTQT</t>
        </is>
      </c>
      <c r="E25" s="15" t="inlineStr">
        <is>
          <t>GD OMO</t>
        </is>
      </c>
      <c r="F25" s="15" t="inlineStr">
        <is>
          <t>1. Kiểm tra</t>
        </is>
      </c>
      <c r="G25" s="15" t="inlineStr">
        <is>
          <t>Không tồn tại 'Chờ TTQT' cho OMO</t>
        </is>
      </c>
      <c r="H25" s="19" t="inlineStr">
        <is>
          <t>Negative</t>
        </is>
      </c>
      <c r="I25" s="13" t="inlineStr">
        <is>
          <t>Critical</t>
        </is>
      </c>
      <c r="J25" s="15" t="inlineStr"/>
    </row>
    <row r="26">
      <c r="A26" s="10" t="n">
        <v>25</v>
      </c>
      <c r="B26" s="11" t="inlineStr">
        <is>
          <t>MM-OMO-025</t>
        </is>
      </c>
      <c r="C26" s="11" t="inlineStr">
        <is>
          <t>Ngày tháng</t>
        </is>
      </c>
      <c r="D26" s="11" t="inlineStr">
        <is>
          <t>Ngày TT 1 = Ngày TT 2 → BLOCK hoặc cảnh báo</t>
        </is>
      </c>
      <c r="E26" s="11" t="inlineStr">
        <is>
          <t>TT 1 = TT 2 = 13/03/2026</t>
        </is>
      </c>
      <c r="F26" s="11" t="inlineStr">
        <is>
          <t>1. Nhập TT 1 = TT 2
2. Lưu</t>
        </is>
      </c>
      <c r="G26" s="11" t="inlineStr">
        <is>
          <t>Hệ thống CHẶN hoặc CẢNH BÁO (kỳ hạn = 0 ngày)</t>
        </is>
      </c>
      <c r="H26" s="18" t="inlineStr">
        <is>
          <t>Edge</t>
        </is>
      </c>
      <c r="I26" s="17" t="inlineStr">
        <is>
          <t>Medium</t>
        </is>
      </c>
      <c r="J2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MM-RK-001</t>
        </is>
      </c>
      <c r="C2" s="11" t="inlineStr">
        <is>
          <t>Tạo GD</t>
        </is>
      </c>
      <c r="D2" s="11" t="inlineStr">
        <is>
          <t>Tạo GD Repo KBNN thành công</t>
        </is>
      </c>
      <c r="E2" s="11" t="inlineStr">
        <is>
          <t>CV K.NV; Đối tác = Kho bạc Nhà nước</t>
        </is>
      </c>
      <c r="F2" s="11" t="inlineStr">
        <is>
          <t>1. Phiên GD = Phiên 1
2. Đối tác = Kho bạc Nhà nước
3. Chọn Mã TP
4. LS trúng thầu = 3.50%
5. Kỳ hạn = 14
6. Ngày TT 1 &amp; TT 2
7. Hair cut = 5%
8. Lưu</t>
        </is>
      </c>
      <c r="G2" s="11" t="inlineStr">
        <is>
          <t>GD thành công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MM-RK-002</t>
        </is>
      </c>
      <c r="C3" s="15" t="inlineStr">
        <is>
          <t>Luồng duyệt</t>
        </is>
      </c>
      <c r="D3" s="15" t="inlineStr">
        <is>
          <t>Repo KBNN KHÔNG qua QLRR, KHÔNG qua TTQT</t>
        </is>
      </c>
      <c r="E3" s="15" t="inlineStr">
        <is>
          <t>GD Repo KBNN</t>
        </is>
      </c>
      <c r="F3" s="15" t="inlineStr">
        <is>
          <t>1. CV → TP → GĐ → KTTC (2 cấp) → Hoàn thành</t>
        </is>
      </c>
      <c r="G3" s="15" t="inlineStr">
        <is>
          <t>KHÔNG Chờ QLRR. KHÔNG Chờ TTQT.</t>
        </is>
      </c>
      <c r="H3" s="12" t="inlineStr">
        <is>
          <t>Happy</t>
        </is>
      </c>
      <c r="I3" s="13" t="inlineStr">
        <is>
          <t>Critical</t>
        </is>
      </c>
      <c r="J3" s="15" t="inlineStr">
        <is>
          <t>Giống OMO</t>
        </is>
      </c>
    </row>
    <row r="4">
      <c r="A4" s="10" t="n">
        <v>3</v>
      </c>
      <c r="B4" s="11" t="inlineStr">
        <is>
          <t>MM-RK-003</t>
        </is>
      </c>
      <c r="C4" s="11" t="inlineStr">
        <is>
          <t>Hạn mức</t>
        </is>
      </c>
      <c r="D4" s="11" t="inlineStr">
        <is>
          <t>Repo KBNN KHÔNG chiếm hạn mức</t>
        </is>
      </c>
      <c r="E4" s="11" t="inlineStr">
        <is>
          <t>GD Repo KBNN hoàn thành</t>
        </is>
      </c>
      <c r="F4" s="11" t="inlineStr">
        <is>
          <t>1. Kiểm tra Module 4</t>
        </is>
      </c>
      <c r="G4" s="11" t="inlineStr">
        <is>
          <t>GD Repo KBNN KHÔNG xuất hiện trong hạn mức</t>
        </is>
      </c>
      <c r="H4" s="12" t="inlineStr">
        <is>
          <t>Happy</t>
        </is>
      </c>
      <c r="I4" s="16" t="inlineStr">
        <is>
          <t>High</t>
        </is>
      </c>
      <c r="J4" s="11" t="inlineStr"/>
    </row>
    <row r="5">
      <c r="A5" s="14" t="n">
        <v>4</v>
      </c>
      <c r="B5" s="15" t="inlineStr">
        <is>
          <t>MM-RK-004</t>
        </is>
      </c>
      <c r="C5" s="15" t="inlineStr">
        <is>
          <t>Đối tác</t>
        </is>
      </c>
      <c r="D5" s="15" t="inlineStr">
        <is>
          <t>Đối tác Repo KBNN = dropdown (khác OMO cố định)</t>
        </is>
      </c>
      <c r="E5" s="15" t="inlineStr">
        <is>
          <t>Tạo GD Repo KBNN</t>
        </is>
      </c>
      <c r="F5" s="15" t="inlineStr">
        <is>
          <t>1. Kiểm tra trường Đối tác</t>
        </is>
      </c>
      <c r="G5" s="15" t="inlineStr">
        <is>
          <t>Đối tác = Dropdown theo danh sách (KHÔNG cố định như OMO)</t>
        </is>
      </c>
      <c r="H5" s="12" t="inlineStr">
        <is>
          <t>Happy</t>
        </is>
      </c>
      <c r="I5" s="16" t="inlineStr">
        <is>
          <t>High</t>
        </is>
      </c>
      <c r="J5" s="15" t="inlineStr">
        <is>
          <t>OMO: cố định NHNN; Repo KBNN: dropdown</t>
        </is>
      </c>
    </row>
    <row r="6">
      <c r="A6" s="10" t="n">
        <v>5</v>
      </c>
      <c r="B6" s="11" t="inlineStr">
        <is>
          <t>MM-RK-005</t>
        </is>
      </c>
      <c r="C6" s="11" t="inlineStr">
        <is>
          <t>Ngày tháng</t>
        </is>
      </c>
      <c r="D6" s="11" t="inlineStr">
        <is>
          <t>Ngày TT 2 trước TT 1 → BLOCK</t>
        </is>
      </c>
      <c r="E6" s="11" t="inlineStr">
        <is>
          <t>TT 1 = 27/03; TT 2 = 13/03</t>
        </is>
      </c>
      <c r="F6" s="11" t="inlineStr">
        <is>
          <t>1. Nhập sai thứ tự
2. Lưu</t>
        </is>
      </c>
      <c r="G6" s="11" t="inlineStr">
        <is>
          <t>CHẶN</t>
        </is>
      </c>
      <c r="H6" s="19" t="inlineStr">
        <is>
          <t>Negative</t>
        </is>
      </c>
      <c r="I6" s="16" t="inlineStr">
        <is>
          <t>High</t>
        </is>
      </c>
      <c r="J6" s="11" t="inlineStr"/>
    </row>
    <row r="7">
      <c r="A7" s="14" t="n">
        <v>6</v>
      </c>
      <c r="B7" s="15" t="inlineStr">
        <is>
          <t>MM-RK-006</t>
        </is>
      </c>
      <c r="C7" s="15" t="inlineStr">
        <is>
          <t>Ràng buộc</t>
        </is>
      </c>
      <c r="D7" s="15" t="inlineStr">
        <is>
          <t>Kỳ hạn = 0 → BLOCK</t>
        </is>
      </c>
      <c r="E7" s="15" t="inlineStr">
        <is>
          <t>Kỳ hạn = 0</t>
        </is>
      </c>
      <c r="F7" s="15" t="inlineStr">
        <is>
          <t>1. Nhập 0
2. Lưu</t>
        </is>
      </c>
      <c r="G7" s="15" t="inlineStr">
        <is>
          <t>CHẶN</t>
        </is>
      </c>
      <c r="H7" s="19" t="inlineStr">
        <is>
          <t>Negative</t>
        </is>
      </c>
      <c r="I7" s="16" t="inlineStr">
        <is>
          <t>High</t>
        </is>
      </c>
      <c r="J7" s="15" t="inlineStr"/>
    </row>
    <row r="8">
      <c r="A8" s="10" t="n">
        <v>7</v>
      </c>
      <c r="B8" s="11" t="inlineStr">
        <is>
          <t>MM-RK-007</t>
        </is>
      </c>
      <c r="C8" s="11" t="inlineStr">
        <is>
          <t>Ràng buộc</t>
        </is>
      </c>
      <c r="D8" s="11" t="inlineStr">
        <is>
          <t>Thiếu trường bắt buộc (Mã TP)</t>
        </is>
      </c>
      <c r="E8" s="11" t="inlineStr">
        <is>
          <t>Bỏ trống Mã TP</t>
        </is>
      </c>
      <c r="F8" s="11" t="inlineStr">
        <is>
          <t>1. Lưu</t>
        </is>
      </c>
      <c r="G8" s="11" t="inlineStr">
        <is>
          <t>CHẶN</t>
        </is>
      </c>
      <c r="H8" s="19" t="inlineStr">
        <is>
          <t>Negative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MM-RK-008</t>
        </is>
      </c>
      <c r="C9" s="15" t="inlineStr">
        <is>
          <t>Ràng buộc</t>
        </is>
      </c>
      <c r="D9" s="15" t="inlineStr">
        <is>
          <t>LS trúng thầu âm → BLOCK</t>
        </is>
      </c>
      <c r="E9" s="15" t="inlineStr">
        <is>
          <t>LS = -2%</t>
        </is>
      </c>
      <c r="F9" s="15" t="inlineStr">
        <is>
          <t>1. Nhập LS âm</t>
        </is>
      </c>
      <c r="G9" s="15" t="inlineStr">
        <is>
          <t>CHẶN</t>
        </is>
      </c>
      <c r="H9" s="19" t="inlineStr">
        <is>
          <t>Negative</t>
        </is>
      </c>
      <c r="I9" s="17" t="inlineStr">
        <is>
          <t>Medium</t>
        </is>
      </c>
      <c r="J9" s="15" t="inlineStr"/>
    </row>
    <row r="10">
      <c r="A10" s="10" t="n">
        <v>9</v>
      </c>
      <c r="B10" s="11" t="inlineStr">
        <is>
          <t>MM-RK-009</t>
        </is>
      </c>
      <c r="C10" s="11" t="inlineStr">
        <is>
          <t>Ràng buộc</t>
        </is>
      </c>
      <c r="D10" s="11" t="inlineStr">
        <is>
          <t>Hair cut âm → BLOCK</t>
        </is>
      </c>
      <c r="E10" s="11" t="inlineStr">
        <is>
          <t>Hair cut = -5%</t>
        </is>
      </c>
      <c r="F10" s="11" t="inlineStr">
        <is>
          <t>1. Nhập HC âm</t>
        </is>
      </c>
      <c r="G10" s="11" t="inlineStr">
        <is>
          <t>CHẶN</t>
        </is>
      </c>
      <c r="H10" s="19" t="inlineStr">
        <is>
          <t>Negative</t>
        </is>
      </c>
      <c r="I10" s="17" t="inlineStr">
        <is>
          <t>Medium</t>
        </is>
      </c>
      <c r="J10" s="11" t="inlineStr"/>
    </row>
    <row r="11">
      <c r="A11" s="14" t="n">
        <v>10</v>
      </c>
      <c r="B11" s="15" t="inlineStr">
        <is>
          <t>MM-RK-010</t>
        </is>
      </c>
      <c r="C11" s="15" t="inlineStr">
        <is>
          <t>Luồng duyệt</t>
        </is>
      </c>
      <c r="D11" s="15" t="inlineStr">
        <is>
          <t>TP trả lại → Open</t>
        </is>
      </c>
      <c r="E11" s="15" t="inlineStr">
        <is>
          <t>GD vừa submit</t>
        </is>
      </c>
      <c r="F11" s="15" t="inlineStr">
        <is>
          <t>1. TP trả lại</t>
        </is>
      </c>
      <c r="G11" s="15" t="inlineStr">
        <is>
          <t>GD = Open. CV sửa.</t>
        </is>
      </c>
      <c r="H11" s="12" t="inlineStr">
        <is>
          <t>Happy</t>
        </is>
      </c>
      <c r="I11" s="16" t="inlineStr">
        <is>
          <t>High</t>
        </is>
      </c>
      <c r="J11" s="15" t="inlineStr"/>
    </row>
    <row r="12">
      <c r="A12" s="10" t="n">
        <v>11</v>
      </c>
      <c r="B12" s="11" t="inlineStr">
        <is>
          <t>MM-RK-011</t>
        </is>
      </c>
      <c r="C12" s="11" t="inlineStr">
        <is>
          <t>Luồng duyệt</t>
        </is>
      </c>
      <c r="D12" s="11" t="inlineStr">
        <is>
          <t>GĐ từ chối → Popup → Từ chối</t>
        </is>
      </c>
      <c r="E12" s="11" t="inlineStr">
        <is>
          <t>GD Chờ K.NV duyệt</t>
        </is>
      </c>
      <c r="F12" s="11" t="inlineStr">
        <is>
          <t>1. GĐ từ chối
2. Popup</t>
        </is>
      </c>
      <c r="G12" s="11" t="inlineStr">
        <is>
          <t>GD = Từ chối. Notify.</t>
        </is>
      </c>
      <c r="H12" s="12" t="inlineStr">
        <is>
          <t>Happy</t>
        </is>
      </c>
      <c r="I12" s="13" t="inlineStr">
        <is>
          <t>Critical</t>
        </is>
      </c>
      <c r="J12" s="11" t="inlineStr"/>
    </row>
    <row r="13">
      <c r="A13" s="14" t="n">
        <v>12</v>
      </c>
      <c r="B13" s="15" t="inlineStr">
        <is>
          <t>MM-RK-012</t>
        </is>
      </c>
      <c r="C13" s="15" t="inlineStr">
        <is>
          <t>Luồng duyệt</t>
        </is>
      </c>
      <c r="D13" s="15" t="inlineStr">
        <is>
          <t>CV KTTC từ chối → Hủy giao dịch</t>
        </is>
      </c>
      <c r="E13" s="15" t="inlineStr">
        <is>
          <t>GD Chờ hạch toán</t>
        </is>
      </c>
      <c r="F13" s="15" t="inlineStr">
        <is>
          <t>1. CV KTTC từ chối</t>
        </is>
      </c>
      <c r="G13" s="15" t="inlineStr">
        <is>
          <t>GD = Hủy giao dịch</t>
        </is>
      </c>
      <c r="H13" s="12" t="inlineStr">
        <is>
          <t>Happy</t>
        </is>
      </c>
      <c r="I13" s="13" t="inlineStr">
        <is>
          <t>Critical</t>
        </is>
      </c>
      <c r="J13" s="15" t="inlineStr"/>
    </row>
    <row r="14">
      <c r="A14" s="10" t="n">
        <v>13</v>
      </c>
      <c r="B14" s="11" t="inlineStr">
        <is>
          <t>MM-RK-013</t>
        </is>
      </c>
      <c r="C14" s="11" t="inlineStr">
        <is>
          <t>Luồng duyệt</t>
        </is>
      </c>
      <c r="D14" s="11" t="inlineStr">
        <is>
          <t>LĐ KTTC từ chối → Hủy giao dịch</t>
        </is>
      </c>
      <c r="E14" s="11" t="inlineStr">
        <is>
          <t>GD Chờ LĐ KTTC duyệt</t>
        </is>
      </c>
      <c r="F14" s="11" t="inlineStr">
        <is>
          <t>1. LĐ KTTC từ chối</t>
        </is>
      </c>
      <c r="G14" s="11" t="inlineStr">
        <is>
          <t>GD = Hủy giao dịch</t>
        </is>
      </c>
      <c r="H14" s="12" t="inlineStr">
        <is>
          <t>Happy</t>
        </is>
      </c>
      <c r="I14" s="13" t="inlineStr">
        <is>
          <t>Critical</t>
        </is>
      </c>
      <c r="J14" s="11" t="inlineStr"/>
    </row>
    <row r="15">
      <c r="A15" s="14" t="n">
        <v>14</v>
      </c>
      <c r="B15" s="15" t="inlineStr">
        <is>
          <t>MM-RK-014</t>
        </is>
      </c>
      <c r="C15" s="15" t="inlineStr">
        <is>
          <t>Workflow</t>
        </is>
      </c>
      <c r="D15" s="15" t="inlineStr">
        <is>
          <t>CV sửa sau TP duyệt → BLOCK</t>
        </is>
      </c>
      <c r="E15" s="15" t="inlineStr">
        <is>
          <t>GD Chờ K.NV duyệt</t>
        </is>
      </c>
      <c r="F15" s="15" t="inlineStr">
        <is>
          <t>1. CV cố sửa</t>
        </is>
      </c>
      <c r="G15" s="15" t="inlineStr">
        <is>
          <t>CHẶN</t>
        </is>
      </c>
      <c r="H15" s="19" t="inlineStr">
        <is>
          <t>Negative</t>
        </is>
      </c>
      <c r="I15" s="13" t="inlineStr">
        <is>
          <t>Critical</t>
        </is>
      </c>
      <c r="J15" s="15" t="inlineStr"/>
    </row>
    <row r="16">
      <c r="A16" s="10" t="n">
        <v>15</v>
      </c>
      <c r="B16" s="11" t="inlineStr">
        <is>
          <t>MM-RK-015</t>
        </is>
      </c>
      <c r="C16" s="11" t="inlineStr">
        <is>
          <t>Trạng thái</t>
        </is>
      </c>
      <c r="D16" s="11" t="inlineStr">
        <is>
          <t>Repo KBNN không có Chờ QLRR</t>
        </is>
      </c>
      <c r="E16" s="11" t="inlineStr">
        <is>
          <t>Theo dõi trạng thái</t>
        </is>
      </c>
      <c r="F16" s="11" t="inlineStr">
        <is>
          <t>1. Kiểm tra</t>
        </is>
      </c>
      <c r="G16" s="11" t="inlineStr">
        <is>
          <t>Không tồn tại Chờ QLRR</t>
        </is>
      </c>
      <c r="H16" s="19" t="inlineStr">
        <is>
          <t>Negative</t>
        </is>
      </c>
      <c r="I16" s="13" t="inlineStr">
        <is>
          <t>Critical</t>
        </is>
      </c>
      <c r="J16" s="11" t="inlineStr"/>
    </row>
    <row r="17">
      <c r="A17" s="14" t="n">
        <v>16</v>
      </c>
      <c r="B17" s="15" t="inlineStr">
        <is>
          <t>MM-RK-016</t>
        </is>
      </c>
      <c r="C17" s="15" t="inlineStr">
        <is>
          <t>Trạng thái</t>
        </is>
      </c>
      <c r="D17" s="15" t="inlineStr">
        <is>
          <t>Repo KBNN không có Chờ TTQT</t>
        </is>
      </c>
      <c r="E17" s="15" t="inlineStr">
        <is>
          <t>Theo dõi trạng thái</t>
        </is>
      </c>
      <c r="F17" s="15" t="inlineStr">
        <is>
          <t>1. Kiểm tra</t>
        </is>
      </c>
      <c r="G17" s="15" t="inlineStr">
        <is>
          <t>Không tồn tại Chờ TTQT</t>
        </is>
      </c>
      <c r="H17" s="19" t="inlineStr">
        <is>
          <t>Negative</t>
        </is>
      </c>
      <c r="I17" s="13" t="inlineStr">
        <is>
          <t>Critical</t>
        </is>
      </c>
      <c r="J17" s="15" t="inlineStr"/>
    </row>
    <row r="18">
      <c r="A18" s="10" t="n">
        <v>17</v>
      </c>
      <c r="B18" s="11" t="inlineStr">
        <is>
          <t>MM-RK-017</t>
        </is>
      </c>
      <c r="C18" s="11" t="inlineStr">
        <is>
          <t>Trường tự động</t>
        </is>
      </c>
      <c r="D18" s="11" t="inlineStr">
        <is>
          <t>TCPH, LS coupon tự động từ danh mục</t>
        </is>
      </c>
      <c r="E18" s="11" t="inlineStr">
        <is>
          <t>Chọn Mã TP</t>
        </is>
      </c>
      <c r="F18" s="11" t="inlineStr">
        <is>
          <t>1. Chọn TP từ dropdown
2. Kiểm tra trường tự động</t>
        </is>
      </c>
      <c r="G18" s="11" t="inlineStr">
        <is>
          <t>Tự động điền TCPH, LS coupon, Ngày đáo hạn TP</t>
        </is>
      </c>
      <c r="H18" s="12" t="inlineStr">
        <is>
          <t>Happy</t>
        </is>
      </c>
      <c r="I18" s="16" t="inlineStr">
        <is>
          <t>High</t>
        </is>
      </c>
      <c r="J18" s="11" t="inlineStr"/>
    </row>
    <row r="19">
      <c r="A19" s="14" t="n">
        <v>18</v>
      </c>
      <c r="B19" s="15" t="inlineStr">
        <is>
          <t>MM-RK-018</t>
        </is>
      </c>
      <c r="C19" s="15" t="inlineStr">
        <is>
          <t>File</t>
        </is>
      </c>
      <c r="D19" s="15" t="inlineStr">
        <is>
          <t>Upload file cho Repo KBNN</t>
        </is>
      </c>
      <c r="E19" s="15" t="inlineStr">
        <is>
          <t>File hồ sơ</t>
        </is>
      </c>
      <c r="F19" s="15" t="inlineStr">
        <is>
          <t>1. Upload
2. Lưu</t>
        </is>
      </c>
      <c r="G19" s="15" t="inlineStr">
        <is>
          <t>Lưu thành công</t>
        </is>
      </c>
      <c r="H19" s="12" t="inlineStr">
        <is>
          <t>Happy</t>
        </is>
      </c>
      <c r="I19" s="20" t="inlineStr">
        <is>
          <t>Low</t>
        </is>
      </c>
      <c r="J19" s="15" t="inlineStr"/>
    </row>
    <row r="20">
      <c r="A20" s="10" t="n">
        <v>19</v>
      </c>
      <c r="B20" s="11" t="inlineStr">
        <is>
          <t>MM-RK-019</t>
        </is>
      </c>
      <c r="C20" s="11" t="inlineStr">
        <is>
          <t>Ngày tháng</t>
        </is>
      </c>
      <c r="D20" s="11" t="inlineStr">
        <is>
          <t>Năm nhuận: Ngày TT 2 = 29/02/2028</t>
        </is>
      </c>
      <c r="E20" s="11" t="inlineStr">
        <is>
          <t>Năm 2028 nhuận</t>
        </is>
      </c>
      <c r="F20" s="11" t="inlineStr">
        <is>
          <t>1. Nhập TT 2 = 29/02/2028</t>
        </is>
      </c>
      <c r="G20" s="11" t="inlineStr">
        <is>
          <t>Hợp lệ. GD thành công.</t>
        </is>
      </c>
      <c r="H20" s="18" t="inlineStr">
        <is>
          <t>Edge</t>
        </is>
      </c>
      <c r="I20" s="17" t="inlineStr">
        <is>
          <t>Medium</t>
        </is>
      </c>
      <c r="J20" s="11" t="inlineStr"/>
    </row>
    <row r="21">
      <c r="A21" s="14" t="n">
        <v>20</v>
      </c>
      <c r="B21" s="15" t="inlineStr">
        <is>
          <t>MM-RK-020</t>
        </is>
      </c>
      <c r="C21" s="15" t="inlineStr">
        <is>
          <t>Ràng buộc</t>
        </is>
      </c>
      <c r="D21" s="15" t="inlineStr">
        <is>
          <t>Thiếu Phiên giao dịch</t>
        </is>
      </c>
      <c r="E21" s="15" t="inlineStr">
        <is>
          <t>Bỏ trống Phiên GD</t>
        </is>
      </c>
      <c r="F21" s="15" t="inlineStr">
        <is>
          <t>1. Lưu</t>
        </is>
      </c>
      <c r="G21" s="15" t="inlineStr">
        <is>
          <t>CHẶN. Thông báo bắt buộc nhập Phiên GD.</t>
        </is>
      </c>
      <c r="H21" s="19" t="inlineStr">
        <is>
          <t>Negative</t>
        </is>
      </c>
      <c r="I21" s="17" t="inlineStr">
        <is>
          <t>Medium</t>
        </is>
      </c>
      <c r="J21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HM-001</t>
        </is>
      </c>
      <c r="C2" s="11" t="inlineStr">
        <is>
          <t>Có TSBĐ</t>
        </is>
      </c>
      <c r="D2" s="11" t="inlineStr">
        <is>
          <t>Duyệt hạn mức có TSBĐ — luồng chính</t>
        </is>
      </c>
      <c r="E2" s="11" t="inlineStr">
        <is>
          <t>GD MM Liên NH, TSBĐ = Có, hạn mức chưa hết</t>
        </is>
      </c>
      <c r="F2" s="11" t="inlineStr">
        <is>
          <t>1. CV QLRR kiểm tra
2. CV QLRR đồng ý
3. TPB QLRR đồng ý</t>
        </is>
      </c>
      <c r="G2" s="11" t="inlineStr">
        <is>
          <t>GD chuyển Chờ hạch toán. Snapshot hạn mức lưu audit.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HM-002</t>
        </is>
      </c>
      <c r="C3" s="15" t="inlineStr">
        <is>
          <t>Không TSBĐ</t>
        </is>
      </c>
      <c r="D3" s="15" t="inlineStr">
        <is>
          <t>Duyệt hạn mức không TSBĐ — luồng chính</t>
        </is>
      </c>
      <c r="E3" s="15" t="inlineStr">
        <is>
          <t>GD MM Liên NH, TSBĐ = Không, hạn mức chưa hết</t>
        </is>
      </c>
      <c r="F3" s="15" t="inlineStr">
        <is>
          <t>1. CV QLRR kiểm tra
2. CV QLRR đồng ý
3. TPB QLRR đồng ý</t>
        </is>
      </c>
      <c r="G3" s="15" t="inlineStr">
        <is>
          <t>GD chuyển Chờ hạch toán.</t>
        </is>
      </c>
      <c r="H3" s="12" t="inlineStr">
        <is>
          <t>Happy</t>
        </is>
      </c>
      <c r="I3" s="13" t="inlineStr">
        <is>
          <t>Critical</t>
        </is>
      </c>
      <c r="J3" s="15" t="inlineStr"/>
    </row>
    <row r="4">
      <c r="A4" s="10" t="n">
        <v>3</v>
      </c>
      <c r="B4" s="11" t="inlineStr">
        <is>
          <t>HM-003</t>
        </is>
      </c>
      <c r="C4" s="11" t="inlineStr">
        <is>
          <t>Từ chối</t>
        </is>
      </c>
      <c r="D4" s="11" t="inlineStr">
        <is>
          <t>CV QLRR từ chối hạn mức</t>
        </is>
      </c>
      <c r="E4" s="11" t="inlineStr">
        <is>
          <t>GD Chờ QLRR</t>
        </is>
      </c>
      <c r="F4" s="11" t="inlineStr">
        <is>
          <t>1. CV QLRR từ chối
2. Nhập lý do
3. Popup xác nhận</t>
        </is>
      </c>
      <c r="G4" s="11" t="inlineStr">
        <is>
          <t>GD = Hủy giao dịch. Notify CV K.NV.</t>
        </is>
      </c>
      <c r="H4" s="12" t="inlineStr">
        <is>
          <t>Happy</t>
        </is>
      </c>
      <c r="I4" s="13" t="inlineStr">
        <is>
          <t>Critical</t>
        </is>
      </c>
      <c r="J4" s="11" t="inlineStr"/>
    </row>
    <row r="5">
      <c r="A5" s="14" t="n">
        <v>4</v>
      </c>
      <c r="B5" s="15" t="inlineStr">
        <is>
          <t>HM-004</t>
        </is>
      </c>
      <c r="C5" s="15" t="inlineStr">
        <is>
          <t>Từ chối</t>
        </is>
      </c>
      <c r="D5" s="15" t="inlineStr">
        <is>
          <t>TPB QLRR từ chối hạn mức</t>
        </is>
      </c>
      <c r="E5" s="15" t="inlineStr">
        <is>
          <t>CV QLRR đã duyệt</t>
        </is>
      </c>
      <c r="F5" s="15" t="inlineStr">
        <is>
          <t>1. TPB QLRR từ chối
2. Popup xác nhận</t>
        </is>
      </c>
      <c r="G5" s="15" t="inlineStr">
        <is>
          <t>GD = Hủy giao dịch. Notify CV K.NV.</t>
        </is>
      </c>
      <c r="H5" s="12" t="inlineStr">
        <is>
          <t>Happy</t>
        </is>
      </c>
      <c r="I5" s="13" t="inlineStr">
        <is>
          <t>Critical</t>
        </is>
      </c>
      <c r="J5" s="15" t="inlineStr"/>
    </row>
    <row r="6">
      <c r="A6" s="10" t="n">
        <v>5</v>
      </c>
      <c r="B6" s="11" t="inlineStr">
        <is>
          <t>HM-005</t>
        </is>
      </c>
      <c r="C6" s="11" t="inlineStr">
        <is>
          <t>Tính toán</t>
        </is>
      </c>
      <c r="D6" s="11" t="inlineStr">
        <is>
          <t>Tỷ giá quy đổi = (Mua CK + Bán CK) / 2</t>
        </is>
      </c>
      <c r="E6" s="11" t="inlineStr">
        <is>
          <t>Tỷ giá mua CK = 25,900; Bán CK = 26,100</t>
        </is>
      </c>
      <c r="F6" s="11" t="inlineStr">
        <is>
          <t>1. Kiểm tra tỷ giá quy đổi hiển thị</t>
        </is>
      </c>
      <c r="G6" s="11">
        <f> (25,900 + 26,100) / 2 = 26,000</f>
        <v/>
      </c>
      <c r="H6" s="12" t="inlineStr">
        <is>
          <t>Happy</t>
        </is>
      </c>
      <c r="I6" s="13" t="inlineStr">
        <is>
          <t>Critical</t>
        </is>
      </c>
      <c r="J6" s="11" t="inlineStr">
        <is>
          <t>Công thức BRD mục 3.4.3</t>
        </is>
      </c>
    </row>
    <row r="7">
      <c r="A7" s="14" t="n">
        <v>6</v>
      </c>
      <c r="B7" s="15" t="inlineStr">
        <is>
          <t>HM-006</t>
        </is>
      </c>
      <c r="C7" s="15" t="inlineStr">
        <is>
          <t>Tính toán</t>
        </is>
      </c>
      <c r="D7" s="15" t="inlineStr">
        <is>
          <t>Hạn mức đã SD bao gồm cả FX + MM (v3)</t>
        </is>
      </c>
      <c r="E7" s="15" t="inlineStr">
        <is>
          <t>Đối tác có GD MM + FX chiếm hạn mức</t>
        </is>
      </c>
      <c r="F7" s="15" t="inlineStr">
        <is>
          <t>1. Kiểm tra cột Hạn mức đã sử dụng</t>
        </is>
      </c>
      <c r="G7" s="15" t="inlineStr">
        <is>
          <t>Tổng = GD MM chưa đáo hạn + GD FX chiếm hạn mức</t>
        </is>
      </c>
      <c r="H7" s="12" t="inlineStr">
        <is>
          <t>Happy</t>
        </is>
      </c>
      <c r="I7" s="13" t="inlineStr">
        <is>
          <t>Critical</t>
        </is>
      </c>
      <c r="J7" s="15" t="inlineStr">
        <is>
          <t>Thay đổi v3: FX chiếm hạn mức</t>
        </is>
      </c>
    </row>
    <row r="8">
      <c r="A8" s="10" t="n">
        <v>7</v>
      </c>
      <c r="B8" s="11" t="inlineStr">
        <is>
          <t>HM-007</t>
        </is>
      </c>
      <c r="C8" s="11" t="inlineStr">
        <is>
          <t>Tính toán</t>
        </is>
      </c>
      <c r="D8" s="11" t="inlineStr">
        <is>
          <t>Giá trị còn lại = Hạn mức cấp − GD cần duyệt</t>
        </is>
      </c>
      <c r="E8" s="11" t="inlineStr">
        <is>
          <t>Hạn mức cấp = 500 tỷ; GD cần duyệt = 200 tỷ</t>
        </is>
      </c>
      <c r="F8" s="11" t="inlineStr">
        <is>
          <t>1. Kiểm tra trường Giá trị còn lại</t>
        </is>
      </c>
      <c r="G8" s="11">
        <f> 500 − 200 = 300 tỷ VND</f>
        <v/>
      </c>
      <c r="H8" s="12" t="inlineStr">
        <is>
          <t>Happy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HM-008</t>
        </is>
      </c>
      <c r="C9" s="15" t="inlineStr">
        <is>
          <t>Tính toán</t>
        </is>
      </c>
      <c r="D9" s="15" t="inlineStr">
        <is>
          <t>Hạn mức 'Không giới hạn' → kết quả = 'Không giới hạn'</t>
        </is>
      </c>
      <c r="E9" s="15" t="inlineStr">
        <is>
          <t>Hạn mức cấp (có TSBĐ) = Không giới hạn</t>
        </is>
      </c>
      <c r="F9" s="15" t="inlineStr">
        <is>
          <t>1. Kiểm tra Giá trị còn lại</t>
        </is>
      </c>
      <c r="G9" s="15" t="inlineStr">
        <is>
          <t>Hiển thị 'Không giới hạn' (KHÔNG tính toán số học)</t>
        </is>
      </c>
      <c r="H9" s="18" t="inlineStr">
        <is>
          <t>Edge</t>
        </is>
      </c>
      <c r="I9" s="13" t="inlineStr">
        <is>
          <t>Critical</t>
        </is>
      </c>
      <c r="J9" s="15" t="inlineStr">
        <is>
          <t>Lỗi thường gặp: tính toán với Infinity</t>
        </is>
      </c>
    </row>
    <row r="10">
      <c r="A10" s="10" t="n">
        <v>9</v>
      </c>
      <c r="B10" s="11" t="inlineStr">
        <is>
          <t>HM-009</t>
        </is>
      </c>
      <c r="C10" s="11" t="inlineStr">
        <is>
          <t>Tính toán</t>
        </is>
      </c>
      <c r="D10" s="11" t="inlineStr">
        <is>
          <t>Hạn mức không TSBĐ bao gồm Giá thanh toán FI Bond</t>
        </is>
      </c>
      <c r="E10" s="11" t="inlineStr">
        <is>
          <t>Đối tác có GD FI Bond đã hạch toán, chưa đáo hạn, TCPH trùng Tên ĐT</t>
        </is>
      </c>
      <c r="F10" s="11" t="inlineStr">
        <is>
          <t>1. Kiểm tra Hạn mức đã SD không TSBĐ</t>
        </is>
      </c>
      <c r="G10" s="11" t="inlineStr">
        <is>
          <t>Bao gồm Giá thanh toán FI Bond (KHÔNG phải Số tiền gốc)</t>
        </is>
      </c>
      <c r="H10" s="18" t="inlineStr">
        <is>
          <t>Edge</t>
        </is>
      </c>
      <c r="I10" s="13" t="inlineStr">
        <is>
          <t>Critical</t>
        </is>
      </c>
      <c r="J10" s="11" t="inlineStr">
        <is>
          <t>Dùng Giá thanh toán, không phải Số tiền gốc</t>
        </is>
      </c>
    </row>
    <row r="11">
      <c r="A11" s="14" t="n">
        <v>10</v>
      </c>
      <c r="B11" s="15" t="inlineStr">
        <is>
          <t>HM-010</t>
        </is>
      </c>
      <c r="C11" s="15" t="inlineStr">
        <is>
          <t>Tính toán</t>
        </is>
      </c>
      <c r="D11" s="15" t="inlineStr">
        <is>
          <t>Hạn mức đầu ngày: chỉ GD đáo hạn SAU ngày GD</t>
        </is>
      </c>
      <c r="E11" s="15" t="inlineStr">
        <is>
          <t>GD MM đáo hạn đúng ngày GD (hôm nay)</t>
        </is>
      </c>
      <c r="F11" s="15" t="inlineStr">
        <is>
          <t>1. Kiểm tra cột (6) (7) bảng tổng hợp</t>
        </is>
      </c>
      <c r="G11" s="15" t="inlineStr">
        <is>
          <t>GD đáo hạn hôm nay KHÔNG tính vào đã SD đầu ngày</t>
        </is>
      </c>
      <c r="H11" s="18" t="inlineStr">
        <is>
          <t>Edge</t>
        </is>
      </c>
      <c r="I11" s="13" t="inlineStr">
        <is>
          <t>Critical</t>
        </is>
      </c>
      <c r="J11" s="15" t="inlineStr">
        <is>
          <t>BRD: đáo hạn SAU ngày GD</t>
        </is>
      </c>
    </row>
    <row r="12">
      <c r="A12" s="10" t="n">
        <v>11</v>
      </c>
      <c r="B12" s="11" t="inlineStr">
        <is>
          <t>HM-011</t>
        </is>
      </c>
      <c r="C12" s="11" t="inlineStr">
        <is>
          <t>Tính toán</t>
        </is>
      </c>
      <c r="D12" s="11" t="inlineStr">
        <is>
          <t>Quy đổi USD → VND khi tính hạn mức tổng</t>
        </is>
      </c>
      <c r="E12" s="11" t="inlineStr">
        <is>
          <t>GD MM: 10M USD + GD MM: 100 tỷ VND</t>
        </is>
      </c>
      <c r="F12" s="11" t="inlineStr">
        <is>
          <t>1. Kiểm tra tổng quy đổi VND</t>
        </is>
      </c>
      <c r="G12" s="11">
        <f> 10M × Tỷ giá QĐ + 100 tỷ VND</f>
        <v/>
      </c>
      <c r="H12" s="12" t="inlineStr">
        <is>
          <t>Happy</t>
        </is>
      </c>
      <c r="I12" s="16" t="inlineStr">
        <is>
          <t>High</t>
        </is>
      </c>
      <c r="J12" s="11" t="inlineStr"/>
    </row>
    <row r="13">
      <c r="A13" s="14" t="n">
        <v>12</v>
      </c>
      <c r="B13" s="15" t="inlineStr">
        <is>
          <t>HM-012</t>
        </is>
      </c>
      <c r="C13" s="15" t="inlineStr">
        <is>
          <t>Ràng buộc</t>
        </is>
      </c>
      <c r="D13" s="15" t="inlineStr">
        <is>
          <t>GD vượt hạn mức còn lại (không TSBĐ)</t>
        </is>
      </c>
      <c r="E13" s="15" t="inlineStr">
        <is>
          <t>Hạn mức còn lại = 100 tỷ; GD cần duyệt = 150 tỷ</t>
        </is>
      </c>
      <c r="F13" s="15" t="inlineStr">
        <is>
          <t>1. Kiểm tra giá trị còn lại</t>
        </is>
      </c>
      <c r="G13" s="15" t="inlineStr">
        <is>
          <t>Giá trị còn lại = −50 tỷ (hiển thị âm hoặc cảnh báo)</t>
        </is>
      </c>
      <c r="H13" s="18" t="inlineStr">
        <is>
          <t>Edge</t>
        </is>
      </c>
      <c r="I13" s="13" t="inlineStr">
        <is>
          <t>Critical</t>
        </is>
      </c>
      <c r="J13" s="15" t="inlineStr">
        <is>
          <t>Hệ thống nên cảnh báo nhưng QLRR quyết định</t>
        </is>
      </c>
    </row>
    <row r="14">
      <c r="A14" s="10" t="n">
        <v>13</v>
      </c>
      <c r="B14" s="11" t="inlineStr">
        <is>
          <t>HM-013</t>
        </is>
      </c>
      <c r="C14" s="11" t="inlineStr">
        <is>
          <t>Tính toán</t>
        </is>
      </c>
      <c r="D14" s="11" t="inlineStr">
        <is>
          <t>Chia đôi tỷ giá lẻ: (25,901 + 26,099) / 2</t>
        </is>
      </c>
      <c r="E14" s="11" t="inlineStr">
        <is>
          <t>Tỷ giá mua CK = 25,901; Bán CK = 26,099</t>
        </is>
      </c>
      <c r="F14" s="11" t="inlineStr">
        <is>
          <t>1. Kiểm tra tỷ giá quy đổi</t>
        </is>
      </c>
      <c r="G14" s="11">
        <f> 26,000 (không sai do làm tròn)</f>
        <v/>
      </c>
      <c r="H14" s="18" t="inlineStr">
        <is>
          <t>Edge</t>
        </is>
      </c>
      <c r="I14" s="17" t="inlineStr">
        <is>
          <t>Medium</t>
        </is>
      </c>
      <c r="J14" s="11" t="inlineStr"/>
    </row>
    <row r="15">
      <c r="A15" s="14" t="n">
        <v>14</v>
      </c>
      <c r="B15" s="15" t="inlineStr">
        <is>
          <t>HM-014</t>
        </is>
      </c>
      <c r="C15" s="15" t="inlineStr">
        <is>
          <t>Ngày tháng</t>
        </is>
      </c>
      <c r="D15" s="15" t="inlineStr">
        <is>
          <t>Tỷ giá lấy cuối ngày LV liền trước (thứ 2 lấy thứ 6)</t>
        </is>
      </c>
      <c r="E15" s="15" t="inlineStr">
        <is>
          <t>GD tạo thứ Hai</t>
        </is>
      </c>
      <c r="F15" s="15" t="inlineStr">
        <is>
          <t>1. Kiểm tra tỷ giá quy đổi</t>
        </is>
      </c>
      <c r="G15" s="15" t="inlineStr">
        <is>
          <t>Lấy tỷ giá cuối ngày Thứ Sáu tuần trước</t>
        </is>
      </c>
      <c r="H15" s="18" t="inlineStr">
        <is>
          <t>Edge</t>
        </is>
      </c>
      <c r="I15" s="16" t="inlineStr">
        <is>
          <t>High</t>
        </is>
      </c>
      <c r="J15" s="15" t="inlineStr"/>
    </row>
    <row r="16">
      <c r="A16" s="10" t="n">
        <v>15</v>
      </c>
      <c r="B16" s="11" t="inlineStr">
        <is>
          <t>HM-015</t>
        </is>
      </c>
      <c r="C16" s="11" t="inlineStr">
        <is>
          <t>Bảng tổng hợp</t>
        </is>
      </c>
      <c r="D16" s="11" t="inlineStr">
        <is>
          <t>Xuất Excel bảng tổng hợp hạn mức</t>
        </is>
      </c>
      <c r="E16" s="11" t="inlineStr">
        <is>
          <t>Bảng tổng hợp có dữ liệu</t>
        </is>
      </c>
      <c r="F16" s="11" t="inlineStr">
        <is>
          <t>1. Nhấn xuất Excel</t>
        </is>
      </c>
      <c r="G16" s="11" t="inlineStr">
        <is>
          <t>File Excel đúng format, đủ 11 cột, số liệu khớp</t>
        </is>
      </c>
      <c r="H16" s="12" t="inlineStr">
        <is>
          <t>Happy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HM-016</t>
        </is>
      </c>
      <c r="C17" s="15" t="inlineStr">
        <is>
          <t>Tính toán</t>
        </is>
      </c>
      <c r="D17" s="15" t="inlineStr">
        <is>
          <t>Bảng tổng hợp: Cột (10) = (4) − (6) − (8)</t>
        </is>
      </c>
      <c r="E17" s="15" t="inlineStr">
        <is>
          <t>Dữ liệu cột (4), (6), (8) đã có</t>
        </is>
      </c>
      <c r="F17" s="15" t="inlineStr">
        <is>
          <t>1. Kiểm tra giá trị cột (10)</t>
        </is>
      </c>
      <c r="G17" s="15" t="inlineStr">
        <is>
          <t>Đúng công thức: Hạn mức cấp − SD đầu ngày − SD trong ngày</t>
        </is>
      </c>
      <c r="H17" s="12" t="inlineStr">
        <is>
          <t>Happy</t>
        </is>
      </c>
      <c r="I17" s="13" t="inlineStr">
        <is>
          <t>Critical</t>
        </is>
      </c>
      <c r="J17" s="15" t="inlineStr"/>
    </row>
    <row r="18">
      <c r="A18" s="10" t="n">
        <v>17</v>
      </c>
      <c r="B18" s="11" t="inlineStr">
        <is>
          <t>HM-017</t>
        </is>
      </c>
      <c r="C18" s="11" t="inlineStr">
        <is>
          <t>Tính toán</t>
        </is>
      </c>
      <c r="D18" s="11" t="inlineStr">
        <is>
          <t>Bảng tổng hợp: Cột (11) Có TSBĐ = Không giới hạn</t>
        </is>
      </c>
      <c r="E18" s="11" t="inlineStr">
        <is>
          <t>Hạn mức có TSBĐ = Không giới hạn</t>
        </is>
      </c>
      <c r="F18" s="11" t="inlineStr">
        <is>
          <t>1. Kiểm tra cột (11)</t>
        </is>
      </c>
      <c r="G18" s="11" t="inlineStr">
        <is>
          <t>Hiển thị 'Không giới hạn'</t>
        </is>
      </c>
      <c r="H18" s="18" t="inlineStr">
        <is>
          <t>Edge</t>
        </is>
      </c>
      <c r="I18" s="13" t="inlineStr">
        <is>
          <t>Critical</t>
        </is>
      </c>
      <c r="J18" s="11" t="inlineStr"/>
    </row>
    <row r="19">
      <c r="A19" s="14" t="n">
        <v>18</v>
      </c>
      <c r="B19" s="15" t="inlineStr">
        <is>
          <t>HM-018</t>
        </is>
      </c>
      <c r="C19" s="15" t="inlineStr">
        <is>
          <t>Phân quyền</t>
        </is>
      </c>
      <c r="D19" s="15" t="inlineStr">
        <is>
          <t>CV QLRR chỉ thấy GD MM Liên NH Chờ QLRR</t>
        </is>
      </c>
      <c r="E19" s="15" t="inlineStr">
        <is>
          <t>Đăng nhập CV QLRR</t>
        </is>
      </c>
      <c r="F19" s="15" t="inlineStr">
        <is>
          <t>1. Xem danh sách GD</t>
        </is>
      </c>
      <c r="G19" s="15" t="inlineStr">
        <is>
          <t>Chỉ thấy GD MM Liên NH trạng thái Chờ QLRR</t>
        </is>
      </c>
      <c r="H19" s="19" t="inlineStr">
        <is>
          <t>Negative</t>
        </is>
      </c>
      <c r="I19" s="13" t="inlineStr">
        <is>
          <t>Critical</t>
        </is>
      </c>
      <c r="J19" s="15" t="inlineStr"/>
    </row>
    <row r="20">
      <c r="A20" s="10" t="n">
        <v>19</v>
      </c>
      <c r="B20" s="11" t="inlineStr">
        <is>
          <t>HM-019</t>
        </is>
      </c>
      <c r="C20" s="11" t="inlineStr">
        <is>
          <t>Phân quyền</t>
        </is>
      </c>
      <c r="D20" s="11" t="inlineStr">
        <is>
          <t>TPB QLRR chỉ thấy GD MM Liên NH Chờ QLRR</t>
        </is>
      </c>
      <c r="E20" s="11" t="inlineStr">
        <is>
          <t>Đăng nhập TPB QLRR</t>
        </is>
      </c>
      <c r="F20" s="11" t="inlineStr">
        <is>
          <t>1. Xem danh sách GD</t>
        </is>
      </c>
      <c r="G20" s="11" t="inlineStr">
        <is>
          <t>Chỉ thấy GD MM Liên NH trạng thái Chờ QLRR</t>
        </is>
      </c>
      <c r="H20" s="19" t="inlineStr">
        <is>
          <t>Negative</t>
        </is>
      </c>
      <c r="I20" s="13" t="inlineStr">
        <is>
          <t>Critical</t>
        </is>
      </c>
      <c r="J20" s="11" t="inlineStr"/>
    </row>
    <row r="21">
      <c r="A21" s="14" t="n">
        <v>20</v>
      </c>
      <c r="B21" s="15" t="inlineStr">
        <is>
          <t>HM-020</t>
        </is>
      </c>
      <c r="C21" s="15" t="inlineStr">
        <is>
          <t>Ràng buộc</t>
        </is>
      </c>
      <c r="D21" s="15" t="inlineStr">
        <is>
          <t>QLRR không duyệt được GD GTCG</t>
        </is>
      </c>
      <c r="E21" s="15" t="inlineStr">
        <is>
          <t>GD GTCG ở bất kỳ trạng thái nào</t>
        </is>
      </c>
      <c r="F21" s="15" t="inlineStr">
        <is>
          <t>1. CV QLRR cố duyệt GD GTCG</t>
        </is>
      </c>
      <c r="G21" s="15" t="inlineStr">
        <is>
          <t>CHẶN. GTCG không qua QLRR.</t>
        </is>
      </c>
      <c r="H21" s="19" t="inlineStr">
        <is>
          <t>Negative</t>
        </is>
      </c>
      <c r="I21" s="13" t="inlineStr">
        <is>
          <t>Critical</t>
        </is>
      </c>
      <c r="J21" s="15" t="inlineStr">
        <is>
          <t>GTCG, OMO, Repo KBNN không qua QLRR</t>
        </is>
      </c>
    </row>
    <row r="22">
      <c r="A22" s="10" t="n">
        <v>21</v>
      </c>
      <c r="B22" s="11" t="inlineStr">
        <is>
          <t>HM-021</t>
        </is>
      </c>
      <c r="C22" s="11" t="inlineStr">
        <is>
          <t>Snapshot</t>
        </is>
      </c>
      <c r="D22" s="11" t="inlineStr">
        <is>
          <t>Snapshot hạn mức khi QLRR duyệt</t>
        </is>
      </c>
      <c r="E22" s="11" t="inlineStr">
        <is>
          <t>QLRR duyệt hạn mức thành công</t>
        </is>
      </c>
      <c r="F22" s="11" t="inlineStr">
        <is>
          <t>1. Kiểm tra audit trail</t>
        </is>
      </c>
      <c r="G22" s="11" t="inlineStr">
        <is>
          <t>Lưu snapshot: hạn mức cấp, đã SD, còn lại tại thời điểm duyệt</t>
        </is>
      </c>
      <c r="H22" s="12" t="inlineStr">
        <is>
          <t>Happy</t>
        </is>
      </c>
      <c r="I22" s="16" t="inlineStr">
        <is>
          <t>High</t>
        </is>
      </c>
      <c r="J22" s="11" t="inlineStr">
        <is>
          <t>BRD mục 8.3</t>
        </is>
      </c>
    </row>
    <row r="23">
      <c r="A23" s="14" t="n">
        <v>22</v>
      </c>
      <c r="B23" s="15" t="inlineStr">
        <is>
          <t>HM-022</t>
        </is>
      </c>
      <c r="C23" s="15" t="inlineStr">
        <is>
          <t>Tính toán</t>
        </is>
      </c>
      <c r="D23" s="15" t="inlineStr">
        <is>
          <t>Nhiều GD cùng đối tác cùng ngày → cộng dồn</t>
        </is>
      </c>
      <c r="E23" s="15" t="inlineStr">
        <is>
          <t>Đối tác MSB có 3 GD MM trong ngày</t>
        </is>
      </c>
      <c r="F23" s="15" t="inlineStr">
        <is>
          <t>1. Kiểm tra GD cần duyệt</t>
        </is>
      </c>
      <c r="G23" s="15" t="inlineStr">
        <is>
          <t>Tổng = GD1 + GD2 + GD3</t>
        </is>
      </c>
      <c r="H23" s="12" t="inlineStr">
        <is>
          <t>Happy</t>
        </is>
      </c>
      <c r="I23" s="16" t="inlineStr">
        <is>
          <t>High</t>
        </is>
      </c>
      <c r="J23" s="15" t="inlineStr"/>
    </row>
    <row r="24">
      <c r="A24" s="10" t="n">
        <v>23</v>
      </c>
      <c r="B24" s="11" t="inlineStr">
        <is>
          <t>HM-023</t>
        </is>
      </c>
      <c r="C24" s="11" t="inlineStr">
        <is>
          <t>Ràng buộc</t>
        </is>
      </c>
      <c r="D24" s="11" t="inlineStr">
        <is>
          <t>Chỉ GD Gửi tiền/Cho vay chiếm hạn mức</t>
        </is>
      </c>
      <c r="E24" s="11" t="inlineStr">
        <is>
          <t>GD MM Chiều = Nhận tiền gửi</t>
        </is>
      </c>
      <c r="F24" s="11" t="inlineStr">
        <is>
          <t>1. Kiểm tra hạn mức</t>
        </is>
      </c>
      <c r="G24" s="11" t="inlineStr">
        <is>
          <t>GD Nhận tiền gửi/Vay KHÔNG chiếm hạn mức</t>
        </is>
      </c>
      <c r="H24" s="18" t="inlineStr">
        <is>
          <t>Edge</t>
        </is>
      </c>
      <c r="I24" s="13" t="inlineStr">
        <is>
          <t>Critical</t>
        </is>
      </c>
      <c r="J24" s="11" t="inlineStr"/>
    </row>
    <row r="25">
      <c r="A25" s="14" t="n">
        <v>24</v>
      </c>
      <c r="B25" s="15" t="inlineStr">
        <is>
          <t>HM-024</t>
        </is>
      </c>
      <c r="C25" s="15" t="inlineStr">
        <is>
          <t>Dữ liệu</t>
        </is>
      </c>
      <c r="D25" s="15" t="inlineStr">
        <is>
          <t>CIF tự động theo Đối tác</t>
        </is>
      </c>
      <c r="E25" s="15" t="inlineStr">
        <is>
          <t>Chọn đối tác MSB</t>
        </is>
      </c>
      <c r="F25" s="15" t="inlineStr">
        <is>
          <t>1. Kiểm tra CIF</t>
        </is>
      </c>
      <c r="G25" s="15" t="inlineStr">
        <is>
          <t>CIF tự động hiển thị theo đối tác</t>
        </is>
      </c>
      <c r="H25" s="12" t="inlineStr">
        <is>
          <t>Happy</t>
        </is>
      </c>
      <c r="I25" s="17" t="inlineStr">
        <is>
          <t>Medium</t>
        </is>
      </c>
      <c r="J25" s="15" t="inlineStr"/>
    </row>
    <row r="26">
      <c r="A26" s="10" t="n">
        <v>25</v>
      </c>
      <c r="B26" s="11" t="inlineStr">
        <is>
          <t>HM-025</t>
        </is>
      </c>
      <c r="C26" s="11" t="inlineStr">
        <is>
          <t>Ràng buộc</t>
        </is>
      </c>
      <c r="D26" s="11" t="inlineStr">
        <is>
          <t>Nhập thủ công hạn mức lần đầu, sau đó tự động</t>
        </is>
      </c>
      <c r="E26" s="11" t="inlineStr">
        <is>
          <t>Đối tác mới chưa có hạn mức</t>
        </is>
      </c>
      <c r="F26" s="11" t="inlineStr">
        <is>
          <t>1. Nhập hạn mức thủ công
2. Lần sau kiểm tra</t>
        </is>
      </c>
      <c r="G26" s="11" t="inlineStr">
        <is>
          <t>Lần đầu cho nhập. Lần sau tự động + quyền sửa.</t>
        </is>
      </c>
      <c r="H26" s="12" t="inlineStr">
        <is>
          <t>Happy</t>
        </is>
      </c>
      <c r="I26" s="17" t="inlineStr">
        <is>
          <t>Medium</t>
        </is>
      </c>
      <c r="J26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TT-001</t>
        </is>
      </c>
      <c r="C2" s="11" t="inlineStr">
        <is>
          <t>FX Spot</t>
        </is>
      </c>
      <c r="D2" s="11" t="inlineStr">
        <is>
          <t>GD FX Spot có TTQT → hiển thị đúng ngày thực hiện</t>
        </is>
      </c>
      <c r="E2" s="11" t="inlineStr">
        <is>
          <t>FX Spot, TTQT = Có, Ngày TH = TODAY, TT = Chờ TTQT</t>
        </is>
      </c>
      <c r="F2" s="11" t="inlineStr">
        <is>
          <t>1. Đăng nhập BP.TTQT
2. Xem danh sách</t>
        </is>
      </c>
      <c r="G2" s="11" t="inlineStr">
        <is>
          <t>GD hiển thị. Số tiền = Khối lượng GD. Ngày chuyển = Ngày TH.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TT-002</t>
        </is>
      </c>
      <c r="C3" s="15" t="inlineStr">
        <is>
          <t>FX Spot</t>
        </is>
      </c>
      <c r="D3" s="15" t="inlineStr">
        <is>
          <t>BP.TTQT duyệt → Hoàn thành</t>
        </is>
      </c>
      <c r="E3" s="15" t="inlineStr">
        <is>
          <t>GD FX Chờ TTQT</t>
        </is>
      </c>
      <c r="F3" s="15" t="inlineStr">
        <is>
          <t>1. BP.TTQT chọn 'Có'
2. Xác nhận</t>
        </is>
      </c>
      <c r="G3" s="15" t="inlineStr">
        <is>
          <t>GD = Hoàn thành.</t>
        </is>
      </c>
      <c r="H3" s="12" t="inlineStr">
        <is>
          <t>Happy</t>
        </is>
      </c>
      <c r="I3" s="13" t="inlineStr">
        <is>
          <t>Critical</t>
        </is>
      </c>
      <c r="J3" s="15" t="inlineStr"/>
    </row>
    <row r="4">
      <c r="A4" s="10" t="n">
        <v>3</v>
      </c>
      <c r="B4" s="11" t="inlineStr">
        <is>
          <t>TT-003</t>
        </is>
      </c>
      <c r="C4" s="11" t="inlineStr">
        <is>
          <t>FX Spot</t>
        </is>
      </c>
      <c r="D4" s="11" t="inlineStr">
        <is>
          <t>BP.TTQT từ chối → Hủy + popup xác nhận</t>
        </is>
      </c>
      <c r="E4" s="11" t="inlineStr">
        <is>
          <t>GD FX Chờ TTQT</t>
        </is>
      </c>
      <c r="F4" s="11" t="inlineStr">
        <is>
          <t>1. BP.TTQT chọn 'Không'
2. Nhập lý do
3. Popup xác nhận
4. Xác nhận</t>
        </is>
      </c>
      <c r="G4" s="11" t="inlineStr">
        <is>
          <t>GD = Hủy giao dịch. Notify CV K.NV.</t>
        </is>
      </c>
      <c r="H4" s="12" t="inlineStr">
        <is>
          <t>Happy</t>
        </is>
      </c>
      <c r="I4" s="13" t="inlineStr">
        <is>
          <t>Critical</t>
        </is>
      </c>
      <c r="J4" s="11" t="inlineStr"/>
    </row>
    <row r="5">
      <c r="A5" s="14" t="n">
        <v>4</v>
      </c>
      <c r="B5" s="15" t="inlineStr">
        <is>
          <t>TT-004</t>
        </is>
      </c>
      <c r="C5" s="15" t="inlineStr">
        <is>
          <t>FX Forward</t>
        </is>
      </c>
      <c r="D5" s="15" t="inlineStr">
        <is>
          <t>GD Forward TTQT chỉ hiển thị đúng Ngày thực hiện</t>
        </is>
      </c>
      <c r="E5" s="15" t="inlineStr">
        <is>
          <t>FX Forward, TTQT = Có, Ngày TH = 15/05/2026</t>
        </is>
      </c>
      <c r="F5" s="15" t="inlineStr">
        <is>
          <t>1. Vào TTQT ngày 14/05
2. Vào TTQT ngày 15/05</t>
        </is>
      </c>
      <c r="G5" s="15" t="inlineStr">
        <is>
          <t>Ngày 14: KHÔNG hiển thị. Ngày 15: hiển thị.</t>
        </is>
      </c>
      <c r="H5" s="18" t="inlineStr">
        <is>
          <t>Edge</t>
        </is>
      </c>
      <c r="I5" s="13" t="inlineStr">
        <is>
          <t>Critical</t>
        </is>
      </c>
      <c r="J5" s="15" t="inlineStr">
        <is>
          <t>GD chỉ hiện đúng ngày</t>
        </is>
      </c>
    </row>
    <row r="6">
      <c r="A6" s="10" t="n">
        <v>5</v>
      </c>
      <c r="B6" s="11" t="inlineStr">
        <is>
          <t>TT-005</t>
        </is>
      </c>
      <c r="C6" s="11" t="inlineStr">
        <is>
          <t>FX Swap</t>
        </is>
      </c>
      <c r="D6" s="11" t="inlineStr">
        <is>
          <t>Swap chân 1: Ticket suffix = 'A'</t>
        </is>
      </c>
      <c r="E6" s="11" t="inlineStr">
        <is>
          <t>Swap, TTQT chân 1 = Có, Ticket = 12345</t>
        </is>
      </c>
      <c r="F6" s="11" t="inlineStr">
        <is>
          <t>1. Kiểm tra danh sách TTQT</t>
        </is>
      </c>
      <c r="G6" s="11" t="inlineStr">
        <is>
          <t>Số Ticket = '12345A'</t>
        </is>
      </c>
      <c r="H6" s="12" t="inlineStr">
        <is>
          <t>Happy</t>
        </is>
      </c>
      <c r="I6" s="13" t="inlineStr">
        <is>
          <t>Critical</t>
        </is>
      </c>
      <c r="J6" s="11" t="inlineStr">
        <is>
          <t>BRD: chân 1 suffix A</t>
        </is>
      </c>
    </row>
    <row r="7">
      <c r="A7" s="14" t="n">
        <v>6</v>
      </c>
      <c r="B7" s="15" t="inlineStr">
        <is>
          <t>TT-006</t>
        </is>
      </c>
      <c r="C7" s="15" t="inlineStr">
        <is>
          <t>FX Swap</t>
        </is>
      </c>
      <c r="D7" s="15" t="inlineStr">
        <is>
          <t>Swap chân 2: Ticket suffix = 'B', auto hiện đúng ngày</t>
        </is>
      </c>
      <c r="E7" s="15" t="inlineStr">
        <is>
          <t>Swap, TTQT chân 2 = Có, Ngày TH chân 2 = 15/06/2026</t>
        </is>
      </c>
      <c r="F7" s="15" t="inlineStr">
        <is>
          <t>1. Vào TTQT ngày 15/06</t>
        </is>
      </c>
      <c r="G7" s="15" t="inlineStr">
        <is>
          <t>GD tự động hiển thị. Ticket = '12345B'. Số tiền = Khối lượng GD.</t>
        </is>
      </c>
      <c r="H7" s="12" t="inlineStr">
        <is>
          <t>Happy</t>
        </is>
      </c>
      <c r="I7" s="13" t="inlineStr">
        <is>
          <t>Critical</t>
        </is>
      </c>
      <c r="J7" s="15" t="inlineStr">
        <is>
          <t>Chân 2 TỰ ĐỘNG xuất hiện</t>
        </is>
      </c>
    </row>
    <row r="8">
      <c r="A8" s="10" t="n">
        <v>7</v>
      </c>
      <c r="B8" s="11" t="inlineStr">
        <is>
          <t>TT-007</t>
        </is>
      </c>
      <c r="C8" s="11" t="inlineStr">
        <is>
          <t>FX Swap</t>
        </is>
      </c>
      <c r="D8" s="11" t="inlineStr">
        <is>
          <t>Swap chân 2 KHÔNG hiện trước ngày thực hiện</t>
        </is>
      </c>
      <c r="E8" s="11" t="inlineStr">
        <is>
          <t>Swap chân 2, Ngày TH chân 2 = 15/06/2026</t>
        </is>
      </c>
      <c r="F8" s="11" t="inlineStr">
        <is>
          <t>1. Vào TTQT ngày 14/06</t>
        </is>
      </c>
      <c r="G8" s="11" t="inlineStr">
        <is>
          <t>Chân 2 CHƯA hiển thị.</t>
        </is>
      </c>
      <c r="H8" s="18" t="inlineStr">
        <is>
          <t>Edge</t>
        </is>
      </c>
      <c r="I8" s="13" t="inlineStr">
        <is>
          <t>Critical</t>
        </is>
      </c>
      <c r="J8" s="11" t="inlineStr"/>
    </row>
    <row r="9">
      <c r="A9" s="14" t="n">
        <v>8</v>
      </c>
      <c r="B9" s="15" t="inlineStr">
        <is>
          <t>TT-008</t>
        </is>
      </c>
      <c r="C9" s="15" t="inlineStr">
        <is>
          <t>MM Gửi/Cho vay</t>
        </is>
      </c>
      <c r="D9" s="15" t="inlineStr">
        <is>
          <t>MM Gửi tiền: hiển thị TTQT ngày hiệu lực</t>
        </is>
      </c>
      <c r="E9" s="15" t="inlineStr">
        <is>
          <t>MM Liên NH, Chiều = Gửi tiền, TTQT = Có, Ngày HL = TODAY</t>
        </is>
      </c>
      <c r="F9" s="15" t="inlineStr">
        <is>
          <t>1. Xem TTQT</t>
        </is>
      </c>
      <c r="G9" s="15" t="inlineStr">
        <is>
          <t>Hiển thị. Số tiền = Số tiền gốc. Ngày chuyển = Ngày hiệu lực.</t>
        </is>
      </c>
      <c r="H9" s="12" t="inlineStr">
        <is>
          <t>Happy</t>
        </is>
      </c>
      <c r="I9" s="13" t="inlineStr">
        <is>
          <t>Critical</t>
        </is>
      </c>
      <c r="J9" s="15" t="inlineStr"/>
    </row>
    <row r="10">
      <c r="A10" s="10" t="n">
        <v>9</v>
      </c>
      <c r="B10" s="11" t="inlineStr">
        <is>
          <t>TT-009</t>
        </is>
      </c>
      <c r="C10" s="11" t="inlineStr">
        <is>
          <t>MM Nhận/Vay</t>
        </is>
      </c>
      <c r="D10" s="11" t="inlineStr">
        <is>
          <t>MM Nhận tiền gửi: TTQT ngày đáo hạn, số tiền = Gốc + Lãi</t>
        </is>
      </c>
      <c r="E10" s="11" t="inlineStr">
        <is>
          <t>MM Liên NH, Chiều = Nhận tiền gửi, TTQT = Có, Ngày ĐH = TODAY</t>
        </is>
      </c>
      <c r="F10" s="11" t="inlineStr">
        <is>
          <t>1. Xem TTQT</t>
        </is>
      </c>
      <c r="G10" s="11" t="inlineStr">
        <is>
          <t>Hiển thị. Số tiền = Số tiền tại ngày đáo hạn (Gốc + Lãi).</t>
        </is>
      </c>
      <c r="H10" s="12" t="inlineStr">
        <is>
          <t>Happy</t>
        </is>
      </c>
      <c r="I10" s="13" t="inlineStr">
        <is>
          <t>Critical</t>
        </is>
      </c>
      <c r="J10" s="11" t="inlineStr">
        <is>
          <t>KHÔNG phải Gốc. Phải là Gốc + Lãi</t>
        </is>
      </c>
    </row>
    <row r="11">
      <c r="A11" s="14" t="n">
        <v>10</v>
      </c>
      <c r="B11" s="15" t="inlineStr">
        <is>
          <t>TT-010</t>
        </is>
      </c>
      <c r="C11" s="15" t="inlineStr">
        <is>
          <t>MM Cho vay</t>
        </is>
      </c>
      <c r="D11" s="15" t="inlineStr">
        <is>
          <t>MM Cho vay USD: format 2 số thập phân</t>
        </is>
      </c>
      <c r="E11" s="15" t="inlineStr">
        <is>
          <t>MM Cho vay, USD, 10,000,000.00 USD</t>
        </is>
      </c>
      <c r="F11" s="15" t="inlineStr">
        <is>
          <t>1. Kiểm tra Số tiền trên TTQT</t>
        </is>
      </c>
      <c r="G11" s="15" t="inlineStr">
        <is>
          <t>10,000,000.00 USD (2 decimal)</t>
        </is>
      </c>
      <c r="H11" s="12" t="inlineStr">
        <is>
          <t>Happy</t>
        </is>
      </c>
      <c r="I11" s="16" t="inlineStr">
        <is>
          <t>High</t>
        </is>
      </c>
      <c r="J11" s="15" t="inlineStr"/>
    </row>
    <row r="12">
      <c r="A12" s="10" t="n">
        <v>11</v>
      </c>
      <c r="B12" s="11" t="inlineStr">
        <is>
          <t>TT-011</t>
        </is>
      </c>
      <c r="C12" s="11" t="inlineStr">
        <is>
          <t>Ràng buộc</t>
        </is>
      </c>
      <c r="D12" s="11" t="inlineStr">
        <is>
          <t>GD GTCG KHÔNG hiển thị trên TTQT</t>
        </is>
      </c>
      <c r="E12" s="11" t="inlineStr">
        <is>
          <t>GD GTCG Hoàn thành</t>
        </is>
      </c>
      <c r="F12" s="11" t="inlineStr">
        <is>
          <t>1. Kiểm tra TTQT</t>
        </is>
      </c>
      <c r="G12" s="11" t="inlineStr">
        <is>
          <t>KHÔNG có GD GTCG. GTCG không qua TTQT.</t>
        </is>
      </c>
      <c r="H12" s="19" t="inlineStr">
        <is>
          <t>Negative</t>
        </is>
      </c>
      <c r="I12" s="13" t="inlineStr">
        <is>
          <t>Critical</t>
        </is>
      </c>
      <c r="J12" s="11" t="inlineStr"/>
    </row>
    <row r="13">
      <c r="A13" s="14" t="n">
        <v>12</v>
      </c>
      <c r="B13" s="15" t="inlineStr">
        <is>
          <t>TT-012</t>
        </is>
      </c>
      <c r="C13" s="15" t="inlineStr">
        <is>
          <t>Ràng buộc</t>
        </is>
      </c>
      <c r="D13" s="15" t="inlineStr">
        <is>
          <t>GD OMO KHÔNG hiển thị trên TTQT</t>
        </is>
      </c>
      <c r="E13" s="15" t="inlineStr">
        <is>
          <t>GD OMO Hoàn thành</t>
        </is>
      </c>
      <c r="F13" s="15" t="inlineStr">
        <is>
          <t>1. Kiểm tra TTQT</t>
        </is>
      </c>
      <c r="G13" s="15" t="inlineStr">
        <is>
          <t>KHÔNG có GD OMO.</t>
        </is>
      </c>
      <c r="H13" s="19" t="inlineStr">
        <is>
          <t>Negative</t>
        </is>
      </c>
      <c r="I13" s="13" t="inlineStr">
        <is>
          <t>Critical</t>
        </is>
      </c>
      <c r="J13" s="15" t="inlineStr">
        <is>
          <t>OMO không qua TTQT</t>
        </is>
      </c>
    </row>
    <row r="14">
      <c r="A14" s="10" t="n">
        <v>13</v>
      </c>
      <c r="B14" s="11" t="inlineStr">
        <is>
          <t>TT-013</t>
        </is>
      </c>
      <c r="C14" s="11" t="inlineStr">
        <is>
          <t>Ràng buộc</t>
        </is>
      </c>
      <c r="D14" s="11" t="inlineStr">
        <is>
          <t>GD Repo KBNN KHÔNG hiển thị trên TTQT</t>
        </is>
      </c>
      <c r="E14" s="11" t="inlineStr">
        <is>
          <t>GD Repo KBNN Hoàn thành</t>
        </is>
      </c>
      <c r="F14" s="11" t="inlineStr">
        <is>
          <t>1. Kiểm tra TTQT</t>
        </is>
      </c>
      <c r="G14" s="11" t="inlineStr">
        <is>
          <t>KHÔNG có GD Repo KBNN.</t>
        </is>
      </c>
      <c r="H14" s="19" t="inlineStr">
        <is>
          <t>Negative</t>
        </is>
      </c>
      <c r="I14" s="13" t="inlineStr">
        <is>
          <t>Critical</t>
        </is>
      </c>
      <c r="J14" s="11" t="inlineStr"/>
    </row>
    <row r="15">
      <c r="A15" s="14" t="n">
        <v>14</v>
      </c>
      <c r="B15" s="15" t="inlineStr">
        <is>
          <t>TT-014</t>
        </is>
      </c>
      <c r="C15" s="15" t="inlineStr">
        <is>
          <t>Phân quyền</t>
        </is>
      </c>
      <c r="D15" s="15" t="inlineStr">
        <is>
          <t>BP.TTQT chỉ thấy GD Chờ TTQT đến hạn TODAY</t>
        </is>
      </c>
      <c r="E15" s="15" t="inlineStr">
        <is>
          <t>Đăng nhập BP.TTQT</t>
        </is>
      </c>
      <c r="F15" s="15" t="inlineStr">
        <is>
          <t>1. Xem danh sách</t>
        </is>
      </c>
      <c r="G15" s="15" t="inlineStr">
        <is>
          <t>Chỉ thấy GD có Chờ TTQT + Ngày = TODAY</t>
        </is>
      </c>
      <c r="H15" s="19" t="inlineStr">
        <is>
          <t>Negative</t>
        </is>
      </c>
      <c r="I15" s="13" t="inlineStr">
        <is>
          <t>Critical</t>
        </is>
      </c>
      <c r="J15" s="15" t="inlineStr"/>
    </row>
    <row r="16">
      <c r="A16" s="10" t="n">
        <v>15</v>
      </c>
      <c r="B16" s="11" t="inlineStr">
        <is>
          <t>TT-015</t>
        </is>
      </c>
      <c r="C16" s="11" t="inlineStr">
        <is>
          <t>Mapping</t>
        </is>
      </c>
      <c r="D16" s="11" t="inlineStr">
        <is>
          <t>BIC CODE tự động theo Tên đối tác</t>
        </is>
      </c>
      <c r="E16" s="11" t="inlineStr">
        <is>
          <t>GD FX có đối tác MSB</t>
        </is>
      </c>
      <c r="F16" s="11" t="inlineStr">
        <is>
          <t>1. Kiểm tra BIC CODE trên TTQT</t>
        </is>
      </c>
      <c r="G16" s="11" t="inlineStr">
        <is>
          <t>Tự động hiển thị SWIFT code MSB</t>
        </is>
      </c>
      <c r="H16" s="12" t="inlineStr">
        <is>
          <t>Happy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TT-016</t>
        </is>
      </c>
      <c r="C17" s="15" t="inlineStr">
        <is>
          <t>Mapping</t>
        </is>
      </c>
      <c r="D17" s="15" t="inlineStr">
        <is>
          <t>Trích tiền từ tài khoản = TK HABIB KLB</t>
        </is>
      </c>
      <c r="E17" s="15" t="inlineStr">
        <is>
          <t>GD FX Chờ TTQT</t>
        </is>
      </c>
      <c r="F17" s="15" t="inlineStr">
        <is>
          <t>1. Kiểm tra trường 'Trích tiền từ tài khoản'</t>
        </is>
      </c>
      <c r="G17" s="15">
        <f> Tài khoản HABIB của KienlongBank</f>
        <v/>
      </c>
      <c r="H17" s="12" t="inlineStr">
        <is>
          <t>Happy</t>
        </is>
      </c>
      <c r="I17" s="16" t="inlineStr">
        <is>
          <t>High</t>
        </is>
      </c>
      <c r="J17" s="15" t="inlineStr"/>
    </row>
    <row r="18">
      <c r="A18" s="10" t="n">
        <v>17</v>
      </c>
      <c r="B18" s="11" t="inlineStr">
        <is>
          <t>TT-017</t>
        </is>
      </c>
      <c r="C18" s="11" t="inlineStr">
        <is>
          <t>Workflow</t>
        </is>
      </c>
      <c r="D18" s="11" t="inlineStr">
        <is>
          <t>Lọc mặc định TTQT = TODAY</t>
        </is>
      </c>
      <c r="E18" s="11" t="inlineStr">
        <is>
          <t>Nhiều GD TTQT nhiều ngày</t>
        </is>
      </c>
      <c r="F18" s="11" t="inlineStr">
        <is>
          <t>1. Mở màn hình TTQT</t>
        </is>
      </c>
      <c r="G18" s="11" t="inlineStr">
        <is>
          <t>Mặc định lọc Ngày GD = TODAY</t>
        </is>
      </c>
      <c r="H18" s="12" t="inlineStr">
        <is>
          <t>Happy</t>
        </is>
      </c>
      <c r="I18" s="17" t="inlineStr">
        <is>
          <t>Medium</t>
        </is>
      </c>
      <c r="J18" s="11" t="inlineStr"/>
    </row>
    <row r="19">
      <c r="A19" s="14" t="n">
        <v>18</v>
      </c>
      <c r="B19" s="15" t="inlineStr">
        <is>
          <t>TT-018</t>
        </is>
      </c>
      <c r="C19" s="15" t="inlineStr">
        <is>
          <t>Ràng buộc</t>
        </is>
      </c>
      <c r="D19" s="15" t="inlineStr">
        <is>
          <t>Citad KHÔNG đi qua Treasury</t>
        </is>
      </c>
      <c r="E19" s="15" t="inlineStr">
        <is>
          <t>GD nội địa qua Citad</t>
        </is>
      </c>
      <c r="F19" s="15" t="inlineStr">
        <is>
          <t>1. Kiểm tra TTQT</t>
        </is>
      </c>
      <c r="G19" s="15" t="inlineStr">
        <is>
          <t>Citad tự động trên Core. KHÔNG hiển thị trên Treasury.</t>
        </is>
      </c>
      <c r="H19" s="19" t="inlineStr">
        <is>
          <t>Negative</t>
        </is>
      </c>
      <c r="I19" s="16" t="inlineStr">
        <is>
          <t>High</t>
        </is>
      </c>
      <c r="J19" s="15" t="inlineStr">
        <is>
          <t>BRD: Citad không qua Treasury</t>
        </is>
      </c>
    </row>
    <row r="20">
      <c r="A20" s="10" t="n">
        <v>19</v>
      </c>
      <c r="B20" s="11" t="inlineStr">
        <is>
          <t>TT-019</t>
        </is>
      </c>
      <c r="C20" s="11" t="inlineStr">
        <is>
          <t>Workflow</t>
        </is>
      </c>
      <c r="D20" s="11" t="inlineStr">
        <is>
          <t>Hủy TTQT → BP.TTQT nhấn Không → popup</t>
        </is>
      </c>
      <c r="E20" s="11" t="inlineStr">
        <is>
          <t>GD Chờ TTQT</t>
        </is>
      </c>
      <c r="F20" s="11" t="inlineStr">
        <is>
          <t>1. Nhấn 'Không'
2. Popup xác nhận
3. Nhấn 'Hủy' trên popup</t>
        </is>
      </c>
      <c r="G20" s="11" t="inlineStr">
        <is>
          <t>Quay lại. GD giữ nguyên Chờ TTQT.</t>
        </is>
      </c>
      <c r="H20" s="18" t="inlineStr">
        <is>
          <t>Edge</t>
        </is>
      </c>
      <c r="I20" s="16" t="inlineStr">
        <is>
          <t>High</t>
        </is>
      </c>
      <c r="J20" s="11" t="inlineStr">
        <is>
          <t>Chống click nhầm</t>
        </is>
      </c>
    </row>
    <row r="21">
      <c r="A21" s="14" t="n">
        <v>20</v>
      </c>
      <c r="B21" s="15" t="inlineStr">
        <is>
          <t>TT-020</t>
        </is>
      </c>
      <c r="C21" s="15" t="inlineStr">
        <is>
          <t>Workflow</t>
        </is>
      </c>
      <c r="D21" s="15" t="inlineStr">
        <is>
          <t>MM Vay: TTQT ngày đáo hạn (trả tiền)</t>
        </is>
      </c>
      <c r="E21" s="15" t="inlineStr">
        <is>
          <t>MM Chiều = Vay, TTQT = Có, Ngày ĐH = 15/06/2026</t>
        </is>
      </c>
      <c r="F21" s="15" t="inlineStr">
        <is>
          <t>1. Vào TTQT ngày 15/06</t>
        </is>
      </c>
      <c r="G21" s="15" t="inlineStr">
        <is>
          <t>Hiển thị. Số tiền = Gốc + Lãi. Ngày chuyển = Ngày ĐH.</t>
        </is>
      </c>
      <c r="H21" s="12" t="inlineStr">
        <is>
          <t>Happy</t>
        </is>
      </c>
      <c r="I21" s="13" t="inlineStr">
        <is>
          <t>Critical</t>
        </is>
      </c>
      <c r="J21" s="15" t="inlineStr"/>
    </row>
    <row r="22">
      <c r="A22" s="10" t="n">
        <v>21</v>
      </c>
      <c r="B22" s="11" t="inlineStr">
        <is>
          <t>TT-021</t>
        </is>
      </c>
      <c r="C22" s="11" t="inlineStr">
        <is>
          <t>Danh sách</t>
        </is>
      </c>
      <c r="D22" s="11" t="inlineStr">
        <is>
          <t>Cột Loại GD hiển thị 'FX' hoặc 'MM'</t>
        </is>
      </c>
      <c r="E22" s="11" t="inlineStr">
        <is>
          <t>Danh sách TTQT có cả FX và MM</t>
        </is>
      </c>
      <c r="F22" s="11" t="inlineStr">
        <is>
          <t>1. Kiểm tra cột Loại giao dịch</t>
        </is>
      </c>
      <c r="G22" s="11" t="inlineStr">
        <is>
          <t>FX → 'FX'; MM → 'MM'</t>
        </is>
      </c>
      <c r="H22" s="12" t="inlineStr">
        <is>
          <t>Happy</t>
        </is>
      </c>
      <c r="I22" s="17" t="inlineStr">
        <is>
          <t>Medium</t>
        </is>
      </c>
      <c r="J22" s="11" t="inlineStr"/>
    </row>
    <row r="23">
      <c r="A23" s="14" t="n">
        <v>22</v>
      </c>
      <c r="B23" s="15" t="inlineStr">
        <is>
          <t>TT-022</t>
        </is>
      </c>
      <c r="C23" s="15" t="inlineStr">
        <is>
          <t>Edge</t>
        </is>
      </c>
      <c r="D23" s="15" t="inlineStr">
        <is>
          <t>Swap 2 chân cùng ngày TH: cả 2 hiện trên TTQT</t>
        </is>
      </c>
      <c r="E23" s="15" t="inlineStr">
        <is>
          <t>Swap, Ngày TH chân 1 = Ngày TH chân 2 = TODAY</t>
        </is>
      </c>
      <c r="F23" s="15" t="inlineStr">
        <is>
          <t>1. Xem TTQT</t>
        </is>
      </c>
      <c r="G23" s="15" t="inlineStr">
        <is>
          <t>Hiển thị 2 dòng: Ticket 'A' và Ticket 'B'</t>
        </is>
      </c>
      <c r="H23" s="18" t="inlineStr">
        <is>
          <t>Edge</t>
        </is>
      </c>
      <c r="I23" s="16" t="inlineStr">
        <is>
          <t>High</t>
        </is>
      </c>
      <c r="J23" s="15" t="inlineStr"/>
    </row>
    <row r="24">
      <c r="A24" s="10" t="n">
        <v>23</v>
      </c>
      <c r="B24" s="11" t="inlineStr">
        <is>
          <t>TT-023</t>
        </is>
      </c>
      <c r="C24" s="11" t="inlineStr">
        <is>
          <t>Dữ liệu</t>
        </is>
      </c>
      <c r="D24" s="11" t="inlineStr">
        <is>
          <t>SSI đối tác mapping đúng từ Pay code</t>
        </is>
      </c>
      <c r="E24" s="11" t="inlineStr">
        <is>
          <t>FX Spot, Pay code ĐT = 'So 8901... IRVTUS3N'</t>
        </is>
      </c>
      <c r="F24" s="11" t="inlineStr">
        <is>
          <t>1. Kiểm tra SSI đối tác trên TTQT</t>
        </is>
      </c>
      <c r="G24" s="11" t="inlineStr">
        <is>
          <t>SSI = Pay code đối tác từ FX</t>
        </is>
      </c>
      <c r="H24" s="12" t="inlineStr">
        <is>
          <t>Happy</t>
        </is>
      </c>
      <c r="I24" s="16" t="inlineStr">
        <is>
          <t>High</t>
        </is>
      </c>
      <c r="J24" s="11" t="inlineStr"/>
    </row>
    <row r="25">
      <c r="A25" s="14" t="n">
        <v>24</v>
      </c>
      <c r="B25" s="15" t="inlineStr">
        <is>
          <t>TT-024</t>
        </is>
      </c>
      <c r="C25" s="15" t="inlineStr">
        <is>
          <t>Lọc</t>
        </is>
      </c>
      <c r="D25" s="15" t="inlineStr">
        <is>
          <t>Lọc theo Loại tiền, Đối tác, Trạng thái</t>
        </is>
      </c>
      <c r="E25" s="15" t="inlineStr">
        <is>
          <t>Danh sách TTQT có nhiều GD</t>
        </is>
      </c>
      <c r="F25" s="15" t="inlineStr">
        <is>
          <t>1. Lọc USD
2. Lọc theo tên ĐT
3. Lọc Hoàn thành</t>
        </is>
      </c>
      <c r="G25" s="15" t="inlineStr">
        <is>
          <t>Kết quả đúng filter</t>
        </is>
      </c>
      <c r="H25" s="12" t="inlineStr">
        <is>
          <t>Happy</t>
        </is>
      </c>
      <c r="I25" s="17" t="inlineStr">
        <is>
          <t>Medium</t>
        </is>
      </c>
      <c r="J25" s="15" t="inlineStr"/>
    </row>
    <row r="26">
      <c r="A26" s="10" t="n">
        <v>25</v>
      </c>
      <c r="B26" s="11" t="inlineStr">
        <is>
          <t>TT-025</t>
        </is>
      </c>
      <c r="C26" s="11" t="inlineStr">
        <is>
          <t>Edge</t>
        </is>
      </c>
      <c r="D26" s="11" t="inlineStr">
        <is>
          <t>GD FX TTQT = Không → KHÔNG hiển thị</t>
        </is>
      </c>
      <c r="E26" s="11" t="inlineStr">
        <is>
          <t>FX Spot, TTQT = Không, Hoàn thành</t>
        </is>
      </c>
      <c r="F26" s="11" t="inlineStr">
        <is>
          <t>1. Kiểm tra TTQT</t>
        </is>
      </c>
      <c r="G26" s="11" t="inlineStr">
        <is>
          <t>KHÔNG hiển thị. GD hoàn thành trực tiếp sau KTTC duyệt.</t>
        </is>
      </c>
      <c r="H26" s="19" t="inlineStr">
        <is>
          <t>Negative</t>
        </is>
      </c>
      <c r="I26" s="16" t="inlineStr">
        <is>
          <t>High</t>
        </is>
      </c>
      <c r="J26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LDB-001</t>
        </is>
      </c>
      <c r="C2" s="11" t="inlineStr">
        <is>
          <t>Recall</t>
        </is>
      </c>
      <c r="D2" s="11" t="inlineStr">
        <is>
          <t>CV Recall khi GD Chờ K.NV duyệt → Open</t>
        </is>
      </c>
      <c r="E2" s="11" t="inlineStr">
        <is>
          <t>GD Chờ K.NV duyệt (TP đã duyệt, GĐ chưa duyệt)</t>
        </is>
      </c>
      <c r="F2" s="11" t="inlineStr">
        <is>
          <t>1. CV nhấn Recall
2. Nhập lý do
3. Xác nhận</t>
        </is>
      </c>
      <c r="G2" s="11" t="inlineStr">
        <is>
          <t>GD quay về Open. CV có thể chỉnh sửa.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LDB-002</t>
        </is>
      </c>
      <c r="C3" s="15" t="inlineStr">
        <is>
          <t>Recall</t>
        </is>
      </c>
      <c r="D3" s="15" t="inlineStr">
        <is>
          <t>TP Recall khi GD Chờ K.NV duyệt → quay về TP</t>
        </is>
      </c>
      <c r="E3" s="15" t="inlineStr">
        <is>
          <t>GD Chờ K.NV duyệt (TP đã duyệt, GĐ chưa duyệt)</t>
        </is>
      </c>
      <c r="F3" s="15" t="inlineStr">
        <is>
          <t>1. TP nhấn Recall
2. Nhập lý do
3. Xác nhận</t>
        </is>
      </c>
      <c r="G3" s="15" t="inlineStr">
        <is>
          <t>GD quay về bước TP review lại (KHÔNG về Open).</t>
        </is>
      </c>
      <c r="H3" s="12" t="inlineStr">
        <is>
          <t>Happy</t>
        </is>
      </c>
      <c r="I3" s="13" t="inlineStr">
        <is>
          <t>Critical</t>
        </is>
      </c>
      <c r="J3" s="15" t="inlineStr">
        <is>
          <t>TP recall ≠ CV recall</t>
        </is>
      </c>
    </row>
    <row r="4">
      <c r="A4" s="10" t="n">
        <v>3</v>
      </c>
      <c r="B4" s="11" t="inlineStr">
        <is>
          <t>LDB-003</t>
        </is>
      </c>
      <c r="C4" s="11" t="inlineStr">
        <is>
          <t>Recall</t>
        </is>
      </c>
      <c r="D4" s="11" t="inlineStr">
        <is>
          <t>Recall BẮT BUỘC nhập lý do</t>
        </is>
      </c>
      <c r="E4" s="11" t="inlineStr">
        <is>
          <t>GD Chờ K.NV duyệt</t>
        </is>
      </c>
      <c r="F4" s="11" t="inlineStr">
        <is>
          <t>1. CV nhấn Recall
2. Bỏ trống lý do
3. Xác nhận</t>
        </is>
      </c>
      <c r="G4" s="11" t="inlineStr">
        <is>
          <t>CHẶN. Bắt buộc nhập lý do recall.</t>
        </is>
      </c>
      <c r="H4" s="19" t="inlineStr">
        <is>
          <t>Negative</t>
        </is>
      </c>
      <c r="I4" s="16" t="inlineStr">
        <is>
          <t>High</t>
        </is>
      </c>
      <c r="J4" s="11" t="inlineStr"/>
    </row>
    <row r="5">
      <c r="A5" s="14" t="n">
        <v>4</v>
      </c>
      <c r="B5" s="15" t="inlineStr">
        <is>
          <t>LDB-004</t>
        </is>
      </c>
      <c r="C5" s="15" t="inlineStr">
        <is>
          <t>Recall</t>
        </is>
      </c>
      <c r="D5" s="15" t="inlineStr">
        <is>
          <t>Recall khi GD đã Hoàn thành → CHẶN</t>
        </is>
      </c>
      <c r="E5" s="15" t="inlineStr">
        <is>
          <t>GD Hoàn thành</t>
        </is>
      </c>
      <c r="F5" s="15" t="inlineStr">
        <is>
          <t>1. CV cố recall</t>
        </is>
      </c>
      <c r="G5" s="15" t="inlineStr">
        <is>
          <t>CHẶN. Recall chỉ khi Chờ K.NV duyệt.</t>
        </is>
      </c>
      <c r="H5" s="19" t="inlineStr">
        <is>
          <t>Negative</t>
        </is>
      </c>
      <c r="I5" s="13" t="inlineStr">
        <is>
          <t>Critical</t>
        </is>
      </c>
      <c r="J5" s="15" t="inlineStr">
        <is>
          <t>Recall ≠ Hủy</t>
        </is>
      </c>
    </row>
    <row r="6">
      <c r="A6" s="10" t="n">
        <v>5</v>
      </c>
      <c r="B6" s="11" t="inlineStr">
        <is>
          <t>LDB-005</t>
        </is>
      </c>
      <c r="C6" s="11" t="inlineStr">
        <is>
          <t>Recall</t>
        </is>
      </c>
      <c r="D6" s="11" t="inlineStr">
        <is>
          <t>Recall khi GD Open → CHẶN</t>
        </is>
      </c>
      <c r="E6" s="11" t="inlineStr">
        <is>
          <t>GD Open (chưa submit)</t>
        </is>
      </c>
      <c r="F6" s="11" t="inlineStr">
        <is>
          <t>1. CV cố recall</t>
        </is>
      </c>
      <c r="G6" s="11" t="inlineStr">
        <is>
          <t>CHẶN. Không có nút Recall khi Open.</t>
        </is>
      </c>
      <c r="H6" s="19" t="inlineStr">
        <is>
          <t>Negative</t>
        </is>
      </c>
      <c r="I6" s="16" t="inlineStr">
        <is>
          <t>High</t>
        </is>
      </c>
      <c r="J6" s="11" t="inlineStr"/>
    </row>
    <row r="7">
      <c r="A7" s="14" t="n">
        <v>6</v>
      </c>
      <c r="B7" s="15" t="inlineStr">
        <is>
          <t>LDB-006</t>
        </is>
      </c>
      <c r="C7" s="15" t="inlineStr">
        <is>
          <t>Recall</t>
        </is>
      </c>
      <c r="D7" s="15" t="inlineStr">
        <is>
          <t>Recall khi GD Chờ hạch toán → CHẶN</t>
        </is>
      </c>
      <c r="E7" s="15" t="inlineStr">
        <is>
          <t>GD Chờ hạch toán (GĐ đã duyệt)</t>
        </is>
      </c>
      <c r="F7" s="15" t="inlineStr">
        <is>
          <t>1. CV cố recall</t>
        </is>
      </c>
      <c r="G7" s="15" t="inlineStr">
        <is>
          <t>CHẶN. Recall chỉ áp dụng khi Chờ K.NV duyệt.</t>
        </is>
      </c>
      <c r="H7" s="19" t="inlineStr">
        <is>
          <t>Negative</t>
        </is>
      </c>
      <c r="I7" s="13" t="inlineStr">
        <is>
          <t>Critical</t>
        </is>
      </c>
      <c r="J7" s="15" t="inlineStr"/>
    </row>
    <row r="8">
      <c r="A8" s="10" t="n">
        <v>7</v>
      </c>
      <c r="B8" s="11" t="inlineStr">
        <is>
          <t>LDB-007</t>
        </is>
      </c>
      <c r="C8" s="11" t="inlineStr">
        <is>
          <t>Recall</t>
        </is>
      </c>
      <c r="D8" s="11" t="inlineStr">
        <is>
          <t>Audit trail ghi nhận recall</t>
        </is>
      </c>
      <c r="E8" s="11" t="inlineStr">
        <is>
          <t>CV recall thành công</t>
        </is>
      </c>
      <c r="F8" s="11" t="inlineStr">
        <is>
          <t>1. Xem lịch sử GD</t>
        </is>
      </c>
      <c r="G8" s="11" t="inlineStr">
        <is>
          <t>Log: User, timestamp, lý do, trạng thái trước/sau.</t>
        </is>
      </c>
      <c r="H8" s="12" t="inlineStr">
        <is>
          <t>Happy</t>
        </is>
      </c>
      <c r="I8" s="16" t="inlineStr">
        <is>
          <t>High</t>
        </is>
      </c>
      <c r="J8" s="11" t="inlineStr"/>
    </row>
    <row r="9">
      <c r="A9" s="14" t="n">
        <v>8</v>
      </c>
      <c r="B9" s="15" t="inlineStr">
        <is>
          <t>LDB-008</t>
        </is>
      </c>
      <c r="C9" s="15" t="inlineStr">
        <is>
          <t>Hủy</t>
        </is>
      </c>
      <c r="D9" s="15" t="inlineStr">
        <is>
          <t>Hủy GD Hoàn thành: CV → TP (cấp 1) → GĐ (cấp 2)</t>
        </is>
      </c>
      <c r="E9" s="15" t="inlineStr">
        <is>
          <t>GD Hoàn thành</t>
        </is>
      </c>
      <c r="F9" s="15" t="inlineStr">
        <is>
          <t>1. CV yêu cầu hủy + lý do
2. TP duyệt hủy cấp 1
3. GĐ/PGĐ Khối duyệt hủy cấp 2</t>
        </is>
      </c>
      <c r="G9" s="15" t="inlineStr">
        <is>
          <t>GD = Đã hủy. Email notify P.KTTC.</t>
        </is>
      </c>
      <c r="H9" s="12" t="inlineStr">
        <is>
          <t>Happy</t>
        </is>
      </c>
      <c r="I9" s="13" t="inlineStr">
        <is>
          <t>Critical</t>
        </is>
      </c>
      <c r="J9" s="15" t="inlineStr">
        <is>
          <t>Hủy cần 2 cấp duyệt (v3)</t>
        </is>
      </c>
    </row>
    <row r="10">
      <c r="A10" s="10" t="n">
        <v>9</v>
      </c>
      <c r="B10" s="11" t="inlineStr">
        <is>
          <t>LDB-009</t>
        </is>
      </c>
      <c r="C10" s="11" t="inlineStr">
        <is>
          <t>Hủy</t>
        </is>
      </c>
      <c r="D10" s="11" t="inlineStr">
        <is>
          <t>Hủy GD Chờ TTQT</t>
        </is>
      </c>
      <c r="E10" s="11" t="inlineStr">
        <is>
          <t>GD Chờ TTQT</t>
        </is>
      </c>
      <c r="F10" s="11" t="inlineStr">
        <is>
          <t>1. CV yêu cầu hủy
2. TP duyệt
3. GĐ duyệt</t>
        </is>
      </c>
      <c r="G10" s="11" t="inlineStr">
        <is>
          <t>GD = Đã hủy. Email notify P.KTTC + BP.TTQT.</t>
        </is>
      </c>
      <c r="H10" s="12" t="inlineStr">
        <is>
          <t>Happy</t>
        </is>
      </c>
      <c r="I10" s="13" t="inlineStr">
        <is>
          <t>Critical</t>
        </is>
      </c>
      <c r="J10" s="11" t="inlineStr">
        <is>
          <t>GD có TTQT → email thêm BP.TTQT</t>
        </is>
      </c>
    </row>
    <row r="11">
      <c r="A11" s="14" t="n">
        <v>10</v>
      </c>
      <c r="B11" s="15" t="inlineStr">
        <is>
          <t>LDB-010</t>
        </is>
      </c>
      <c r="C11" s="15" t="inlineStr">
        <is>
          <t>Hủy</t>
        </is>
      </c>
      <c r="D11" s="15" t="inlineStr">
        <is>
          <t>TP từ chối hủy → GD giữ nguyên</t>
        </is>
      </c>
      <c r="E11" s="15" t="inlineStr">
        <is>
          <t>GD Hoàn thành, CV yêu cầu hủy</t>
        </is>
      </c>
      <c r="F11" s="15" t="inlineStr">
        <is>
          <t>1. TP từ chối hủy cấp 1</t>
        </is>
      </c>
      <c r="G11" s="15" t="inlineStr">
        <is>
          <t>GD giữ nguyên Hoàn thành.</t>
        </is>
      </c>
      <c r="H11" s="12" t="inlineStr">
        <is>
          <t>Happy</t>
        </is>
      </c>
      <c r="I11" s="16" t="inlineStr">
        <is>
          <t>High</t>
        </is>
      </c>
      <c r="J11" s="15" t="inlineStr"/>
    </row>
    <row r="12">
      <c r="A12" s="10" t="n">
        <v>11</v>
      </c>
      <c r="B12" s="11" t="inlineStr">
        <is>
          <t>LDB-011</t>
        </is>
      </c>
      <c r="C12" s="11" t="inlineStr">
        <is>
          <t>Hủy</t>
        </is>
      </c>
      <c r="D12" s="11" t="inlineStr">
        <is>
          <t>GĐ từ chối hủy → GD giữ nguyên</t>
        </is>
      </c>
      <c r="E12" s="11" t="inlineStr">
        <is>
          <t>TP đã duyệt hủy cấp 1</t>
        </is>
      </c>
      <c r="F12" s="11" t="inlineStr">
        <is>
          <t>1. GĐ từ chối hủy cấp 2</t>
        </is>
      </c>
      <c r="G12" s="11" t="inlineStr">
        <is>
          <t>GD giữ nguyên Hoàn thành.</t>
        </is>
      </c>
      <c r="H12" s="12" t="inlineStr">
        <is>
          <t>Happy</t>
        </is>
      </c>
      <c r="I12" s="16" t="inlineStr">
        <is>
          <t>High</t>
        </is>
      </c>
      <c r="J12" s="11" t="inlineStr"/>
    </row>
    <row r="13">
      <c r="A13" s="14" t="n">
        <v>12</v>
      </c>
      <c r="B13" s="15" t="inlineStr">
        <is>
          <t>LDB-012</t>
        </is>
      </c>
      <c r="C13" s="15" t="inlineStr">
        <is>
          <t>Hủy</t>
        </is>
      </c>
      <c r="D13" s="15" t="inlineStr">
        <is>
          <t>GD Đã hủy vẫn hiển thị (mặc định ẩn, filter hiện)</t>
        </is>
      </c>
      <c r="E13" s="15" t="inlineStr">
        <is>
          <t>GD Đã hủy</t>
        </is>
      </c>
      <c r="F13" s="15" t="inlineStr">
        <is>
          <t>1. Xem danh sách GD (mặc định)
2. Bật filter hiện GD hủy</t>
        </is>
      </c>
      <c r="G13" s="15" t="inlineStr">
        <is>
          <t>Mặc định: ẩn GD hủy. Bật filter: hiển thị với trạng thái 'Đã hủy'.</t>
        </is>
      </c>
      <c r="H13" s="12" t="inlineStr">
        <is>
          <t>Happy</t>
        </is>
      </c>
      <c r="I13" s="16" t="inlineStr">
        <is>
          <t>High</t>
        </is>
      </c>
      <c r="J13" s="15" t="inlineStr">
        <is>
          <t>KHÔNG xóa khỏi hệ thống</t>
        </is>
      </c>
    </row>
    <row r="14">
      <c r="A14" s="10" t="n">
        <v>13</v>
      </c>
      <c r="B14" s="11" t="inlineStr">
        <is>
          <t>LDB-013</t>
        </is>
      </c>
      <c r="C14" s="11" t="inlineStr">
        <is>
          <t>Hủy</t>
        </is>
      </c>
      <c r="D14" s="11" t="inlineStr">
        <is>
          <t>Hủy GD Open → CHẶN</t>
        </is>
      </c>
      <c r="E14" s="11" t="inlineStr">
        <is>
          <t>GD Open</t>
        </is>
      </c>
      <c r="F14" s="11" t="inlineStr">
        <is>
          <t>1. CV cố hủy</t>
        </is>
      </c>
      <c r="G14" s="11" t="inlineStr">
        <is>
          <t>CHẶN. Hủy chỉ áp dụng cho GD Hoàn thành hoặc Chờ TTQT.</t>
        </is>
      </c>
      <c r="H14" s="19" t="inlineStr">
        <is>
          <t>Negative</t>
        </is>
      </c>
      <c r="I14" s="13" t="inlineStr">
        <is>
          <t>Critical</t>
        </is>
      </c>
      <c r="J14" s="11" t="inlineStr"/>
    </row>
    <row r="15">
      <c r="A15" s="14" t="n">
        <v>14</v>
      </c>
      <c r="B15" s="15" t="inlineStr">
        <is>
          <t>LDB-014</t>
        </is>
      </c>
      <c r="C15" s="15" t="inlineStr">
        <is>
          <t>Hủy</t>
        </is>
      </c>
      <c r="D15" s="15" t="inlineStr">
        <is>
          <t>Hủy GD Từ chối → CHẶN</t>
        </is>
      </c>
      <c r="E15" s="15" t="inlineStr">
        <is>
          <t>GD Từ chối</t>
        </is>
      </c>
      <c r="F15" s="15" t="inlineStr">
        <is>
          <t>1. CV cố hủy</t>
        </is>
      </c>
      <c r="G15" s="15" t="inlineStr">
        <is>
          <t>CHẶN. GD Từ chối dùng Clone, không phải Hủy.</t>
        </is>
      </c>
      <c r="H15" s="19" t="inlineStr">
        <is>
          <t>Negative</t>
        </is>
      </c>
      <c r="I15" s="16" t="inlineStr">
        <is>
          <t>High</t>
        </is>
      </c>
      <c r="J15" s="15" t="inlineStr"/>
    </row>
    <row r="16">
      <c r="A16" s="10" t="n">
        <v>15</v>
      </c>
      <c r="B16" s="11" t="inlineStr">
        <is>
          <t>LDB-015</t>
        </is>
      </c>
      <c r="C16" s="11" t="inlineStr">
        <is>
          <t>Hủy</t>
        </is>
      </c>
      <c r="D16" s="11" t="inlineStr">
        <is>
          <t>Email thông báo khi hủy GD không có TTQT</t>
        </is>
      </c>
      <c r="E16" s="11" t="inlineStr">
        <is>
          <t>GD Hoàn thành, TTQT = Không</t>
        </is>
      </c>
      <c r="F16" s="11" t="inlineStr">
        <is>
          <t>1. Hủy thành công</t>
        </is>
      </c>
      <c r="G16" s="11" t="inlineStr">
        <is>
          <t>Email CHỈ gửi P.KTTC. KHÔNG gửi BP.TTQT.</t>
        </is>
      </c>
      <c r="H16" s="12" t="inlineStr">
        <is>
          <t>Happy</t>
        </is>
      </c>
      <c r="I16" s="16" t="inlineStr">
        <is>
          <t>High</t>
        </is>
      </c>
      <c r="J16" s="11" t="inlineStr"/>
    </row>
    <row r="17">
      <c r="A17" s="14" t="n">
        <v>16</v>
      </c>
      <c r="B17" s="15" t="inlineStr">
        <is>
          <t>LDB-016</t>
        </is>
      </c>
      <c r="C17" s="15" t="inlineStr">
        <is>
          <t>Clone</t>
        </is>
      </c>
      <c r="D17" s="15" t="inlineStr">
        <is>
          <t>Clone GD bị Từ chối → GD mới Open</t>
        </is>
      </c>
      <c r="E17" s="15" t="inlineStr">
        <is>
          <t>GD Từ chối (GĐ từ chối)</t>
        </is>
      </c>
      <c r="F17" s="15" t="inlineStr">
        <is>
          <t>1. CV nhấn Clone</t>
        </is>
      </c>
      <c r="G17" s="15" t="inlineStr">
        <is>
          <t>GD mới tạo, copy dữ liệu cũ, trạng thái Open.</t>
        </is>
      </c>
      <c r="H17" s="12" t="inlineStr">
        <is>
          <t>Happy</t>
        </is>
      </c>
      <c r="I17" s="13" t="inlineStr">
        <is>
          <t>Critical</t>
        </is>
      </c>
      <c r="J17" s="15" t="inlineStr"/>
    </row>
    <row r="18">
      <c r="A18" s="10" t="n">
        <v>17</v>
      </c>
      <c r="B18" s="11" t="inlineStr">
        <is>
          <t>LDB-017</t>
        </is>
      </c>
      <c r="C18" s="11" t="inlineStr">
        <is>
          <t>Clone</t>
        </is>
      </c>
      <c r="D18" s="11" t="inlineStr">
        <is>
          <t>Clone GD bị Hủy giao dịch (KTTC từ chối)</t>
        </is>
      </c>
      <c r="E18" s="11" t="inlineStr">
        <is>
          <t>GD Hủy giao dịch (P.KTTC từ chối)</t>
        </is>
      </c>
      <c r="F18" s="11" t="inlineStr">
        <is>
          <t>1. CV nhấn Clone</t>
        </is>
      </c>
      <c r="G18" s="11" t="inlineStr">
        <is>
          <t>GD mới tạo, copy dữ liệu cũ, trạng thái Open.</t>
        </is>
      </c>
      <c r="H18" s="12" t="inlineStr">
        <is>
          <t>Happy</t>
        </is>
      </c>
      <c r="I18" s="13" t="inlineStr">
        <is>
          <t>Critical</t>
        </is>
      </c>
      <c r="J18" s="11" t="inlineStr"/>
    </row>
    <row r="19">
      <c r="A19" s="14" t="n">
        <v>18</v>
      </c>
      <c r="B19" s="15" t="inlineStr">
        <is>
          <t>LDB-018</t>
        </is>
      </c>
      <c r="C19" s="15" t="inlineStr">
        <is>
          <t>Clone</t>
        </is>
      </c>
      <c r="D19" s="15" t="inlineStr">
        <is>
          <t>Clone GD Hoàn thành → CHẶN</t>
        </is>
      </c>
      <c r="E19" s="15" t="inlineStr">
        <is>
          <t>GD Hoàn thành</t>
        </is>
      </c>
      <c r="F19" s="15" t="inlineStr">
        <is>
          <t>1. CV cố Clone</t>
        </is>
      </c>
      <c r="G19" s="15" t="inlineStr">
        <is>
          <t>CHẶN. Clone chỉ cho GD Từ chối hoặc Hủy GD (KTTC từ chối).</t>
        </is>
      </c>
      <c r="H19" s="19" t="inlineStr">
        <is>
          <t>Negative</t>
        </is>
      </c>
      <c r="I19" s="13" t="inlineStr">
        <is>
          <t>Critical</t>
        </is>
      </c>
      <c r="J19" s="15" t="inlineStr"/>
    </row>
    <row r="20">
      <c r="A20" s="10" t="n">
        <v>19</v>
      </c>
      <c r="B20" s="11" t="inlineStr">
        <is>
          <t>LDB-019</t>
        </is>
      </c>
      <c r="C20" s="11" t="inlineStr">
        <is>
          <t>Clone</t>
        </is>
      </c>
      <c r="D20" s="11" t="inlineStr">
        <is>
          <t>Clone GD Đã hủy (hủy sau hoàn thành) → CHẶN</t>
        </is>
      </c>
      <c r="E20" s="11" t="inlineStr">
        <is>
          <t>GD Đã hủy (đã hoàn thành rồi hủy)</t>
        </is>
      </c>
      <c r="F20" s="11" t="inlineStr">
        <is>
          <t>1. CV cố Clone</t>
        </is>
      </c>
      <c r="G20" s="11" t="inlineStr">
        <is>
          <t>CHẶN. Clone chỉ áp dụng cho Từ chối/Hủy GD (KTTC từ chối).</t>
        </is>
      </c>
      <c r="H20" s="19" t="inlineStr">
        <is>
          <t>Negative</t>
        </is>
      </c>
      <c r="I20" s="16" t="inlineStr">
        <is>
          <t>High</t>
        </is>
      </c>
      <c r="J20" s="11" t="inlineStr">
        <is>
          <t>Phân biệt 'Hủy giao dịch' vs 'Đã hủy'</t>
        </is>
      </c>
    </row>
    <row r="21">
      <c r="A21" s="14" t="n">
        <v>20</v>
      </c>
      <c r="B21" s="15" t="inlineStr">
        <is>
          <t>LDB-020</t>
        </is>
      </c>
      <c r="C21" s="15" t="inlineStr">
        <is>
          <t>Clone</t>
        </is>
      </c>
      <c r="D21" s="15" t="inlineStr">
        <is>
          <t>GD clone có ID mới, dữ liệu copy đầy đủ</t>
        </is>
      </c>
      <c r="E21" s="15" t="inlineStr">
        <is>
          <t>GD Từ chối, có đầy đủ dữ liệu</t>
        </is>
      </c>
      <c r="F21" s="15" t="inlineStr">
        <is>
          <t>1. Clone
2. Kiểm tra GD mới</t>
        </is>
      </c>
      <c r="G21" s="15" t="inlineStr">
        <is>
          <t>ID mới. Tất cả trường dữ liệu copy chính xác. Trạng thái = Open.</t>
        </is>
      </c>
      <c r="H21" s="12" t="inlineStr">
        <is>
          <t>Happy</t>
        </is>
      </c>
      <c r="I21" s="16" t="inlineStr">
        <is>
          <t>High</t>
        </is>
      </c>
      <c r="J21" s="15" t="inlineStr"/>
    </row>
    <row r="22">
      <c r="A22" s="10" t="n">
        <v>21</v>
      </c>
      <c r="B22" s="11" t="inlineStr">
        <is>
          <t>LDB-021</t>
        </is>
      </c>
      <c r="C22" s="11" t="inlineStr">
        <is>
          <t>Clone</t>
        </is>
      </c>
      <c r="D22" s="11" t="inlineStr">
        <is>
          <t>CV chỉnh sửa GD clone trước khi submit</t>
        </is>
      </c>
      <c r="E22" s="11" t="inlineStr">
        <is>
          <t>GD clone vừa tạo (Open)</t>
        </is>
      </c>
      <c r="F22" s="11" t="inlineStr">
        <is>
          <t>1. Sửa tỷ giá
2. Submit</t>
        </is>
      </c>
      <c r="G22" s="11" t="inlineStr">
        <is>
          <t>Cho phép sửa. Submit bình thường.</t>
        </is>
      </c>
      <c r="H22" s="12" t="inlineStr">
        <is>
          <t>Happy</t>
        </is>
      </c>
      <c r="I22" s="17" t="inlineStr">
        <is>
          <t>Medium</t>
        </is>
      </c>
      <c r="J22" s="11" t="inlineStr"/>
    </row>
    <row r="23">
      <c r="A23" s="14" t="n">
        <v>22</v>
      </c>
      <c r="B23" s="15" t="inlineStr">
        <is>
          <t>LDB-022</t>
        </is>
      </c>
      <c r="C23" s="15" t="inlineStr">
        <is>
          <t>Popup</t>
        </is>
      </c>
      <c r="D23" s="15" t="inlineStr">
        <is>
          <t>Popup xác nhận khi GĐ từ chối</t>
        </is>
      </c>
      <c r="E23" s="15" t="inlineStr">
        <is>
          <t>GD Chờ K.NV duyệt</t>
        </is>
      </c>
      <c r="F23" s="15" t="inlineStr">
        <is>
          <t>1. GĐ nhấn Từ chối
2. Popup hiện
3. Nhập lý do
4. Xác nhận</t>
        </is>
      </c>
      <c r="G23" s="15" t="inlineStr">
        <is>
          <t>Popup bắt buộc. Có nút 'Xác nhận từ chối' + 'Hủy'.</t>
        </is>
      </c>
      <c r="H23" s="12" t="inlineStr">
        <is>
          <t>Happy</t>
        </is>
      </c>
      <c r="I23" s="13" t="inlineStr">
        <is>
          <t>Critical</t>
        </is>
      </c>
      <c r="J23" s="15" t="inlineStr">
        <is>
          <t>Chống click nhầm</t>
        </is>
      </c>
    </row>
    <row r="24">
      <c r="A24" s="10" t="n">
        <v>23</v>
      </c>
      <c r="B24" s="11" t="inlineStr">
        <is>
          <t>LDB-023</t>
        </is>
      </c>
      <c r="C24" s="11" t="inlineStr">
        <is>
          <t>Popup</t>
        </is>
      </c>
      <c r="D24" s="11" t="inlineStr">
        <is>
          <t>Popup xác nhận khi KTTC từ chối</t>
        </is>
      </c>
      <c r="E24" s="11" t="inlineStr">
        <is>
          <t>GD Chờ hạch toán</t>
        </is>
      </c>
      <c r="F24" s="11" t="inlineStr">
        <is>
          <t>1. CV KTTC nhấn Từ chối
2. Popup hiện</t>
        </is>
      </c>
      <c r="G24" s="11" t="inlineStr">
        <is>
          <t>Popup bắt buộc nhập lý do.</t>
        </is>
      </c>
      <c r="H24" s="12" t="inlineStr">
        <is>
          <t>Happy</t>
        </is>
      </c>
      <c r="I24" s="13" t="inlineStr">
        <is>
          <t>Critical</t>
        </is>
      </c>
      <c r="J24" s="11" t="inlineStr"/>
    </row>
    <row r="25">
      <c r="A25" s="14" t="n">
        <v>24</v>
      </c>
      <c r="B25" s="15" t="inlineStr">
        <is>
          <t>LDB-024</t>
        </is>
      </c>
      <c r="C25" s="15" t="inlineStr">
        <is>
          <t>Popup</t>
        </is>
      </c>
      <c r="D25" s="15" t="inlineStr">
        <is>
          <t>Nhấn 'Hủy' trên popup → quay lại, GD không thay đổi</t>
        </is>
      </c>
      <c r="E25" s="15" t="inlineStr">
        <is>
          <t>GD Chờ K.NV duyệt, GĐ nhấn Từ chối</t>
        </is>
      </c>
      <c r="F25" s="15" t="inlineStr">
        <is>
          <t>1. Popup hiện
2. Nhấn 'Hủy'</t>
        </is>
      </c>
      <c r="G25" s="15" t="inlineStr">
        <is>
          <t>Quay lại. GD giữ nguyên Chờ K.NV duyệt.</t>
        </is>
      </c>
      <c r="H25" s="18" t="inlineStr">
        <is>
          <t>Edge</t>
        </is>
      </c>
      <c r="I25" s="16" t="inlineStr">
        <is>
          <t>High</t>
        </is>
      </c>
      <c r="J25" s="15" t="inlineStr"/>
    </row>
    <row r="26">
      <c r="A26" s="10" t="n">
        <v>25</v>
      </c>
      <c r="B26" s="11" t="inlineStr">
        <is>
          <t>LDB-025</t>
        </is>
      </c>
      <c r="C26" s="11" t="inlineStr">
        <is>
          <t>Popup</t>
        </is>
      </c>
      <c r="D26" s="11" t="inlineStr">
        <is>
          <t>Popup bắt buộc lý do không để trống</t>
        </is>
      </c>
      <c r="E26" s="11" t="inlineStr">
        <is>
          <t>Popup từ chối hiện</t>
        </is>
      </c>
      <c r="F26" s="11" t="inlineStr">
        <is>
          <t>1. Bỏ trống lý do
2. Nhấn Xác nhận</t>
        </is>
      </c>
      <c r="G26" s="11" t="inlineStr">
        <is>
          <t>CHẶN. Bắt buộc nhập lý do.</t>
        </is>
      </c>
      <c r="H26" s="19" t="inlineStr">
        <is>
          <t>Negative</t>
        </is>
      </c>
      <c r="I26" s="16" t="inlineStr">
        <is>
          <t>High</t>
        </is>
      </c>
      <c r="J26" s="11" t="inlineStr"/>
    </row>
    <row r="27">
      <c r="A27" s="14" t="n">
        <v>26</v>
      </c>
      <c r="B27" s="15" t="inlineStr">
        <is>
          <t>LDB-026</t>
        </is>
      </c>
      <c r="C27" s="15" t="inlineStr">
        <is>
          <t>Cross</t>
        </is>
      </c>
      <c r="D27" s="15" t="inlineStr">
        <is>
          <t>Recall áp dụng cho FX, GTCG, MM</t>
        </is>
      </c>
      <c r="E27" s="15" t="inlineStr">
        <is>
          <t>GD FX Chờ K.NV duyệt</t>
        </is>
      </c>
      <c r="F27" s="15" t="inlineStr">
        <is>
          <t>1. CV recall GD FX
2. CV recall GD GTCG
3. CV recall GD MM</t>
        </is>
      </c>
      <c r="G27" s="15" t="inlineStr">
        <is>
          <t>Cả 3 module đều hỗ trợ recall.</t>
        </is>
      </c>
      <c r="H27" s="12" t="inlineStr">
        <is>
          <t>Happy</t>
        </is>
      </c>
      <c r="I27" s="16" t="inlineStr">
        <is>
          <t>High</t>
        </is>
      </c>
      <c r="J27" s="15" t="inlineStr">
        <is>
          <t>Luồng đặc biệt áp dụng chung</t>
        </is>
      </c>
    </row>
    <row r="28">
      <c r="A28" s="10" t="n">
        <v>27</v>
      </c>
      <c r="B28" s="11" t="inlineStr">
        <is>
          <t>LDB-027</t>
        </is>
      </c>
      <c r="C28" s="11" t="inlineStr">
        <is>
          <t>Cross</t>
        </is>
      </c>
      <c r="D28" s="11" t="inlineStr">
        <is>
          <t>Hủy áp dụng cho FX, GTCG, MM</t>
        </is>
      </c>
      <c r="E28" s="11" t="inlineStr">
        <is>
          <t>GD Hoàn thành các module</t>
        </is>
      </c>
      <c r="F28" s="11" t="inlineStr">
        <is>
          <t>1. Hủy GD FX
2. Hủy GD GTCG
3. Hủy GD MM</t>
        </is>
      </c>
      <c r="G28" s="11" t="inlineStr">
        <is>
          <t>Cả 3 module đều hỗ trợ hủy.</t>
        </is>
      </c>
      <c r="H28" s="12" t="inlineStr">
        <is>
          <t>Happy</t>
        </is>
      </c>
      <c r="I28" s="16" t="inlineStr">
        <is>
          <t>High</t>
        </is>
      </c>
      <c r="J28" s="11" t="inlineStr"/>
    </row>
    <row r="29">
      <c r="A29" s="14" t="n">
        <v>28</v>
      </c>
      <c r="B29" s="15" t="inlineStr">
        <is>
          <t>LDB-028</t>
        </is>
      </c>
      <c r="C29" s="15" t="inlineStr">
        <is>
          <t>Audit</t>
        </is>
      </c>
      <c r="D29" s="15" t="inlineStr">
        <is>
          <t>Tất cả thao tác đặc biệt đều ghi audit trail</t>
        </is>
      </c>
      <c r="E29" s="15" t="inlineStr">
        <is>
          <t>Recall / Hủy / Clone</t>
        </is>
      </c>
      <c r="F29" s="15" t="inlineStr">
        <is>
          <t>1. Thực hiện
2. Kiểm tra lịch sử</t>
        </is>
      </c>
      <c r="G29" s="15" t="inlineStr">
        <is>
          <t>Audit trail đầy đủ: user, timestamp, hành động, lý do.</t>
        </is>
      </c>
      <c r="H29" s="12" t="inlineStr">
        <is>
          <t>Happy</t>
        </is>
      </c>
      <c r="I29" s="16" t="inlineStr">
        <is>
          <t>High</t>
        </is>
      </c>
      <c r="J29" s="15" t="inlineStr"/>
    </row>
    <row r="30">
      <c r="A30" s="10" t="n">
        <v>29</v>
      </c>
      <c r="B30" s="11" t="inlineStr">
        <is>
          <t>LDB-029</t>
        </is>
      </c>
      <c r="C30" s="11" t="inlineStr">
        <is>
          <t>Edge</t>
        </is>
      </c>
      <c r="D30" s="11" t="inlineStr">
        <is>
          <t>Recall rồi submit lại → luồng bình thường</t>
        </is>
      </c>
      <c r="E30" s="11" t="inlineStr">
        <is>
          <t>GD đã recall về Open</t>
        </is>
      </c>
      <c r="F30" s="11" t="inlineStr">
        <is>
          <t>1. CV sửa
2. Submit lại
3. TP duyệt
4. GĐ duyệt</t>
        </is>
      </c>
      <c r="G30" s="11" t="inlineStr">
        <is>
          <t>Luồng chạy bình thường sau recall.</t>
        </is>
      </c>
      <c r="H30" s="12" t="inlineStr">
        <is>
          <t>Happy</t>
        </is>
      </c>
      <c r="I30" s="17" t="inlineStr">
        <is>
          <t>Medium</t>
        </is>
      </c>
      <c r="J30" s="11" t="inlineStr"/>
    </row>
    <row r="31">
      <c r="A31" s="14" t="n">
        <v>30</v>
      </c>
      <c r="B31" s="15" t="inlineStr">
        <is>
          <t>LDB-030</t>
        </is>
      </c>
      <c r="C31" s="15" t="inlineStr">
        <is>
          <t>Edge</t>
        </is>
      </c>
      <c r="D31" s="15" t="inlineStr">
        <is>
          <t>Clone GD FX Swap → copy đủ 2 chân</t>
        </is>
      </c>
      <c r="E31" s="15" t="inlineStr">
        <is>
          <t>GD FX Swap bị Từ chối</t>
        </is>
      </c>
      <c r="F31" s="15" t="inlineStr">
        <is>
          <t>1. Clone</t>
        </is>
      </c>
      <c r="G31" s="15" t="inlineStr">
        <is>
          <t>GD mới có đầy đủ dữ liệu chân 1 + chân 2.</t>
        </is>
      </c>
      <c r="H31" s="18" t="inlineStr">
        <is>
          <t>Edge</t>
        </is>
      </c>
      <c r="I31" s="16" t="inlineStr">
        <is>
          <t>High</t>
        </is>
      </c>
      <c r="J31" s="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35" customWidth="1" min="4" max="4"/>
    <col width="30" customWidth="1" min="5" max="5"/>
    <col width="35" customWidth="1" min="6" max="6"/>
    <col width="35" customWidth="1" min="7" max="7"/>
    <col width="12" customWidth="1" min="8" max="8"/>
    <col width="12" customWidth="1" min="9" max="9"/>
    <col width="20" customWidth="1" min="10" max="10"/>
  </cols>
  <sheetData>
    <row r="1">
      <c r="A1" s="9" t="inlineStr">
        <is>
          <t>STT</t>
        </is>
      </c>
      <c r="B1" s="9" t="inlineStr">
        <is>
          <t>Mã TC</t>
        </is>
      </c>
      <c r="C1" s="9" t="inlineStr">
        <is>
          <t>Nhóm kiểm thử</t>
        </is>
      </c>
      <c r="D1" s="9" t="inlineStr">
        <is>
          <t>Mô tả test case</t>
        </is>
      </c>
      <c r="E1" s="9" t="inlineStr">
        <is>
          <t>Điều kiện đầu vào</t>
        </is>
      </c>
      <c r="F1" s="9" t="inlineStr">
        <is>
          <t>Bước thực hiện</t>
        </is>
      </c>
      <c r="G1" s="9" t="inlineStr">
        <is>
          <t>Kết quả mong đợi</t>
        </is>
      </c>
      <c r="H1" s="9" t="inlineStr">
        <is>
          <t>Loại</t>
        </is>
      </c>
      <c r="I1" s="9" t="inlineStr">
        <is>
          <t>Mức độ</t>
        </is>
      </c>
      <c r="J1" s="9" t="inlineStr">
        <is>
          <t>Ghi chú</t>
        </is>
      </c>
    </row>
    <row r="2">
      <c r="A2" s="10" t="n">
        <v>1</v>
      </c>
      <c r="B2" s="11" t="inlineStr">
        <is>
          <t>PQ-001</t>
        </is>
      </c>
      <c r="C2" s="11" t="inlineStr">
        <is>
          <t>CV K.NV</t>
        </is>
      </c>
      <c r="D2" s="11" t="inlineStr">
        <is>
          <t>CV tạo GD FX, GTCG, MM</t>
        </is>
      </c>
      <c r="E2" s="11" t="inlineStr">
        <is>
          <t>Đăng nhập CV K.NV</t>
        </is>
      </c>
      <c r="F2" s="11" t="inlineStr">
        <is>
          <t>1. Tạo GD FX
2. Tạo GD GTCG
3. Tạo GD MM</t>
        </is>
      </c>
      <c r="G2" s="11" t="inlineStr">
        <is>
          <t>Tạo thành công tất cả module.</t>
        </is>
      </c>
      <c r="H2" s="12" t="inlineStr">
        <is>
          <t>Happy</t>
        </is>
      </c>
      <c r="I2" s="13" t="inlineStr">
        <is>
          <t>Critical</t>
        </is>
      </c>
      <c r="J2" s="11" t="inlineStr"/>
    </row>
    <row r="3">
      <c r="A3" s="14" t="n">
        <v>2</v>
      </c>
      <c r="B3" s="15" t="inlineStr">
        <is>
          <t>PQ-002</t>
        </is>
      </c>
      <c r="C3" s="15" t="inlineStr">
        <is>
          <t>CV K.NV</t>
        </is>
      </c>
      <c r="D3" s="15" t="inlineStr">
        <is>
          <t>CV sửa GD khi Open</t>
        </is>
      </c>
      <c r="E3" s="15" t="inlineStr">
        <is>
          <t>GD Open, đăng nhập CV K.NV</t>
        </is>
      </c>
      <c r="F3" s="15" t="inlineStr">
        <is>
          <t>1. Sửa trường dữ liệu
2. Lưu</t>
        </is>
      </c>
      <c r="G3" s="15" t="inlineStr">
        <is>
          <t>Lưu thành công.</t>
        </is>
      </c>
      <c r="H3" s="12" t="inlineStr">
        <is>
          <t>Happy</t>
        </is>
      </c>
      <c r="I3" s="13" t="inlineStr">
        <is>
          <t>Critical</t>
        </is>
      </c>
      <c r="J3" s="15" t="inlineStr"/>
    </row>
    <row r="4">
      <c r="A4" s="10" t="n">
        <v>3</v>
      </c>
      <c r="B4" s="11" t="inlineStr">
        <is>
          <t>PQ-003</t>
        </is>
      </c>
      <c r="C4" s="11" t="inlineStr">
        <is>
          <t>CV K.NV</t>
        </is>
      </c>
      <c r="D4" s="11" t="inlineStr">
        <is>
          <t>CV KHÔNG sửa được GD sau TP duyệt</t>
        </is>
      </c>
      <c r="E4" s="11" t="inlineStr">
        <is>
          <t>GD Chờ K.NV duyệt</t>
        </is>
      </c>
      <c r="F4" s="11" t="inlineStr">
        <is>
          <t>1. CV cố sửa trường dữ liệu</t>
        </is>
      </c>
      <c r="G4" s="11" t="inlineStr">
        <is>
          <t>CHẶN. Không có quyền chỉnh sửa sau TP duyệt.</t>
        </is>
      </c>
      <c r="H4" s="19" t="inlineStr">
        <is>
          <t>Negative</t>
        </is>
      </c>
      <c r="I4" s="13" t="inlineStr">
        <is>
          <t>Critical</t>
        </is>
      </c>
      <c r="J4" s="11" t="inlineStr">
        <is>
          <t>Quy tắc BRD: TP duyệt → lock</t>
        </is>
      </c>
    </row>
    <row r="5">
      <c r="A5" s="14" t="n">
        <v>4</v>
      </c>
      <c r="B5" s="15" t="inlineStr">
        <is>
          <t>PQ-004</t>
        </is>
      </c>
      <c r="C5" s="15" t="inlineStr">
        <is>
          <t>TP K.NV</t>
        </is>
      </c>
      <c r="D5" s="15" t="inlineStr">
        <is>
          <t>TP duyệt cấp 1 + Recall</t>
        </is>
      </c>
      <c r="E5" s="15" t="inlineStr">
        <is>
          <t>GD Open đã submit</t>
        </is>
      </c>
      <c r="F5" s="15" t="inlineStr">
        <is>
          <t>1. TP xem GD
2. Duyệt hoặc Trả lại</t>
        </is>
      </c>
      <c r="G5" s="15" t="inlineStr">
        <is>
          <t>TP có quyền Duyệt cấp 1 + Trả lại + Recall.</t>
        </is>
      </c>
      <c r="H5" s="12" t="inlineStr">
        <is>
          <t>Happy</t>
        </is>
      </c>
      <c r="I5" s="13" t="inlineStr">
        <is>
          <t>Critical</t>
        </is>
      </c>
      <c r="J5" s="15" t="inlineStr"/>
    </row>
    <row r="6">
      <c r="A6" s="10" t="n">
        <v>5</v>
      </c>
      <c r="B6" s="11" t="inlineStr">
        <is>
          <t>PQ-005</t>
        </is>
      </c>
      <c r="C6" s="11" t="inlineStr">
        <is>
          <t>GĐ TT</t>
        </is>
      </c>
      <c r="D6" s="11" t="inlineStr">
        <is>
          <t>GĐ TT KDV/QLV duyệt cấp 2</t>
        </is>
      </c>
      <c r="E6" s="11" t="inlineStr">
        <is>
          <t>GD Chờ K.NV duyệt</t>
        </is>
      </c>
      <c r="F6" s="11" t="inlineStr">
        <is>
          <t>1. GĐ TT duyệt</t>
        </is>
      </c>
      <c r="G6" s="11" t="inlineStr">
        <is>
          <t>GD chuyển trạng thái tiếp theo.</t>
        </is>
      </c>
      <c r="H6" s="12" t="inlineStr">
        <is>
          <t>Happy</t>
        </is>
      </c>
      <c r="I6" s="13" t="inlineStr">
        <is>
          <t>Critical</t>
        </is>
      </c>
      <c r="J6" s="11" t="inlineStr"/>
    </row>
    <row r="7">
      <c r="A7" s="14" t="n">
        <v>6</v>
      </c>
      <c r="B7" s="15" t="inlineStr">
        <is>
          <t>PQ-006</t>
        </is>
      </c>
      <c r="C7" s="15" t="inlineStr">
        <is>
          <t>GĐ/PGĐ Khối</t>
        </is>
      </c>
      <c r="D7" s="15" t="inlineStr">
        <is>
          <t>GĐ/PGĐ Khối duyệt cấp 2 + Duyệt hủy</t>
        </is>
      </c>
      <c r="E7" s="15" t="inlineStr">
        <is>
          <t>GD Chờ K.NV duyệt</t>
        </is>
      </c>
      <c r="F7" s="15" t="inlineStr">
        <is>
          <t>1. GĐ Khối duyệt cấp 2
2. GĐ Khối duyệt hủy (GD Hoàn thành)</t>
        </is>
      </c>
      <c r="G7" s="15" t="inlineStr">
        <is>
          <t>Có quyền duyệt cấp 2 + duyệt hủy.</t>
        </is>
      </c>
      <c r="H7" s="12" t="inlineStr">
        <is>
          <t>Happy</t>
        </is>
      </c>
      <c r="I7" s="13" t="inlineStr">
        <is>
          <t>Critical</t>
        </is>
      </c>
      <c r="J7" s="15" t="inlineStr"/>
    </row>
    <row r="8">
      <c r="A8" s="10" t="n">
        <v>7</v>
      </c>
      <c r="B8" s="11" t="inlineStr">
        <is>
          <t>PQ-007</t>
        </is>
      </c>
      <c r="C8" s="11" t="inlineStr">
        <is>
          <t>CV QLRR</t>
        </is>
      </c>
      <c r="D8" s="11" t="inlineStr">
        <is>
          <t>CV QLRR CHỈ thấy GD MM Liên NH Chờ QLRR</t>
        </is>
      </c>
      <c r="E8" s="11" t="inlineStr">
        <is>
          <t>Đăng nhập CV QLRR</t>
        </is>
      </c>
      <c r="F8" s="11" t="inlineStr">
        <is>
          <t>1. Xem tất cả module</t>
        </is>
      </c>
      <c r="G8" s="11" t="inlineStr">
        <is>
          <t>Chỉ thấy GD MM Liên NH trạng thái Chờ QLRR. KHÔNG thấy FX, GTCG, OMO.</t>
        </is>
      </c>
      <c r="H8" s="19" t="inlineStr">
        <is>
          <t>Negative</t>
        </is>
      </c>
      <c r="I8" s="13" t="inlineStr">
        <is>
          <t>Critical</t>
        </is>
      </c>
      <c r="J8" s="11" t="inlineStr"/>
    </row>
    <row r="9">
      <c r="A9" s="14" t="n">
        <v>8</v>
      </c>
      <c r="B9" s="15" t="inlineStr">
        <is>
          <t>PQ-008</t>
        </is>
      </c>
      <c r="C9" s="15" t="inlineStr">
        <is>
          <t>CV KTTC</t>
        </is>
      </c>
      <c r="D9" s="15" t="inlineStr">
        <is>
          <t>CV KTTC CHỈ thấy GD từ bước hạch toán trở đi</t>
        </is>
      </c>
      <c r="E9" s="15" t="inlineStr">
        <is>
          <t>Đăng nhập CV P.KTTC</t>
        </is>
      </c>
      <c r="F9" s="15" t="inlineStr">
        <is>
          <t>1. Xem danh sách GD</t>
        </is>
      </c>
      <c r="G9" s="15" t="inlineStr">
        <is>
          <t>Chỉ thấy GD Chờ hạch toán + các trạng thái sau. KHÔNG thấy Open, Chờ K.NV duyệt.</t>
        </is>
      </c>
      <c r="H9" s="19" t="inlineStr">
        <is>
          <t>Negative</t>
        </is>
      </c>
      <c r="I9" s="13" t="inlineStr">
        <is>
          <t>Critical</t>
        </is>
      </c>
      <c r="J9" s="15" t="inlineStr"/>
    </row>
    <row r="10">
      <c r="A10" s="10" t="n">
        <v>9</v>
      </c>
      <c r="B10" s="11" t="inlineStr">
        <is>
          <t>PQ-009</t>
        </is>
      </c>
      <c r="C10" s="11" t="inlineStr">
        <is>
          <t>LĐ KTTC</t>
        </is>
      </c>
      <c r="D10" s="11" t="inlineStr">
        <is>
          <t>LĐ KTTC duyệt hạch toán cấp 2</t>
        </is>
      </c>
      <c r="E10" s="11" t="inlineStr">
        <is>
          <t>GD Chờ LĐ KTTC duyệt (CV KTTC đã duyệt cấp 1)</t>
        </is>
      </c>
      <c r="F10" s="11" t="inlineStr">
        <is>
          <t>1. LĐ KTTC duyệt</t>
        </is>
      </c>
      <c r="G10" s="11" t="inlineStr">
        <is>
          <t>GD chuyển Chờ TTQT hoặc Hoàn thành.</t>
        </is>
      </c>
      <c r="H10" s="12" t="inlineStr">
        <is>
          <t>Happy</t>
        </is>
      </c>
      <c r="I10" s="13" t="inlineStr">
        <is>
          <t>Critical</t>
        </is>
      </c>
      <c r="J10" s="11" t="inlineStr">
        <is>
          <t>KTTC 2 cấp (v3)</t>
        </is>
      </c>
    </row>
    <row r="11">
      <c r="A11" s="14" t="n">
        <v>10</v>
      </c>
      <c r="B11" s="15" t="inlineStr">
        <is>
          <t>PQ-010</t>
        </is>
      </c>
      <c r="C11" s="15" t="inlineStr">
        <is>
          <t>BP.TTQT</t>
        </is>
      </c>
      <c r="D11" s="15" t="inlineStr">
        <is>
          <t>BP.TTQT CHỈ thấy GD Chờ TTQT đến hạn TODAY</t>
        </is>
      </c>
      <c r="E11" s="15" t="inlineStr">
        <is>
          <t>Đăng nhập BP.TTQT</t>
        </is>
      </c>
      <c r="F11" s="15" t="inlineStr">
        <is>
          <t>1. Xem danh sách</t>
        </is>
      </c>
      <c r="G11" s="15" t="inlineStr">
        <is>
          <t>Chỉ thấy GD Chờ TTQT ngày hôm nay.</t>
        </is>
      </c>
      <c r="H11" s="19" t="inlineStr">
        <is>
          <t>Negative</t>
        </is>
      </c>
      <c r="I11" s="13" t="inlineStr">
        <is>
          <t>Critical</t>
        </is>
      </c>
      <c r="J11" s="15" t="inlineStr"/>
    </row>
    <row r="12">
      <c r="A12" s="10" t="n">
        <v>11</v>
      </c>
      <c r="B12" s="11" t="inlineStr">
        <is>
          <t>PQ-011</t>
        </is>
      </c>
      <c r="C12" s="11" t="inlineStr">
        <is>
          <t>Admin</t>
        </is>
      </c>
      <c r="D12" s="11" t="inlineStr">
        <is>
          <t>Admin quản lý Master Data</t>
        </is>
      </c>
      <c r="E12" s="11" t="inlineStr">
        <is>
          <t>Đăng nhập Admin</t>
        </is>
      </c>
      <c r="F12" s="11" t="inlineStr">
        <is>
          <t>1. Thêm đối tác
2. Import danh mục TP
3. Cập nhật Pay code</t>
        </is>
      </c>
      <c r="G12" s="11" t="inlineStr">
        <is>
          <t>Thao tác thành công.</t>
        </is>
      </c>
      <c r="H12" s="12" t="inlineStr">
        <is>
          <t>Happy</t>
        </is>
      </c>
      <c r="I12" s="16" t="inlineStr">
        <is>
          <t>High</t>
        </is>
      </c>
      <c r="J12" s="11" t="inlineStr"/>
    </row>
    <row r="13">
      <c r="A13" s="14" t="n">
        <v>12</v>
      </c>
      <c r="B13" s="15" t="inlineStr">
        <is>
          <t>PQ-012</t>
        </is>
      </c>
      <c r="C13" s="15" t="inlineStr">
        <is>
          <t>Admin</t>
        </is>
      </c>
      <c r="D13" s="15" t="inlineStr">
        <is>
          <t>Admin xem tất cả GD nhưng KHÔNG duyệt</t>
        </is>
      </c>
      <c r="E13" s="15" t="inlineStr">
        <is>
          <t>Đăng nhập Admin</t>
        </is>
      </c>
      <c r="F13" s="15" t="inlineStr">
        <is>
          <t>1. Xem GD
2. Cố duyệt</t>
        </is>
      </c>
      <c r="G13" s="15" t="inlineStr">
        <is>
          <t>Xem: OK. Duyệt: CHẶN.</t>
        </is>
      </c>
      <c r="H13" s="19" t="inlineStr">
        <is>
          <t>Negative</t>
        </is>
      </c>
      <c r="I13" s="16" t="inlineStr">
        <is>
          <t>High</t>
        </is>
      </c>
      <c r="J13" s="15" t="inlineStr"/>
    </row>
    <row r="14">
      <c r="A14" s="10" t="n">
        <v>13</v>
      </c>
      <c r="B14" s="11" t="inlineStr">
        <is>
          <t>PQ-013</t>
        </is>
      </c>
      <c r="C14" s="11" t="inlineStr">
        <is>
          <t>Self-approve</t>
        </is>
      </c>
      <c r="D14" s="11" t="inlineStr">
        <is>
          <t>Cùng người tạo và duyệt (CV = TP) → CHẶN</t>
        </is>
      </c>
      <c r="E14" s="11" t="inlineStr">
        <is>
          <t>User có role CV, GD do user tạo</t>
        </is>
      </c>
      <c r="F14" s="11" t="inlineStr">
        <is>
          <t>1. Đăng nhập role TP cùng user
2. Cố duyệt GD mình tạo</t>
        </is>
      </c>
      <c r="G14" s="11" t="inlineStr">
        <is>
          <t>CHẶN. Không được tự duyệt GD của mình.</t>
        </is>
      </c>
      <c r="H14" s="19" t="inlineStr">
        <is>
          <t>Negative</t>
        </is>
      </c>
      <c r="I14" s="13" t="inlineStr">
        <is>
          <t>Critical</t>
        </is>
      </c>
      <c r="J14" s="11" t="inlineStr">
        <is>
          <t>Kiểm soát nội bộ</t>
        </is>
      </c>
    </row>
    <row r="15">
      <c r="A15" s="14" t="n">
        <v>14</v>
      </c>
      <c r="B15" s="15" t="inlineStr">
        <is>
          <t>PQ-014</t>
        </is>
      </c>
      <c r="C15" s="15" t="inlineStr">
        <is>
          <t>Self-approve</t>
        </is>
      </c>
      <c r="D15" s="15" t="inlineStr">
        <is>
          <t>TP tạo GD rồi tự duyệt cấp 1 → CHẶN</t>
        </is>
      </c>
      <c r="E15" s="15" t="inlineStr">
        <is>
          <t>TP tạo GD (nếu TP có quyền tạo)</t>
        </is>
      </c>
      <c r="F15" s="15" t="inlineStr">
        <is>
          <t>1. TP tạo GD
2. TP cố duyệt cấp 1</t>
        </is>
      </c>
      <c r="G15" s="15" t="inlineStr">
        <is>
          <t>CHẶN.</t>
        </is>
      </c>
      <c r="H15" s="19" t="inlineStr">
        <is>
          <t>Negative</t>
        </is>
      </c>
      <c r="I15" s="13" t="inlineStr">
        <is>
          <t>Critical</t>
        </is>
      </c>
      <c r="J15" s="15" t="inlineStr"/>
    </row>
    <row r="16">
      <c r="A16" s="10" t="n">
        <v>15</v>
      </c>
      <c r="B16" s="11" t="inlineStr">
        <is>
          <t>PQ-015</t>
        </is>
      </c>
      <c r="C16" s="11" t="inlineStr">
        <is>
          <t>Ủy quyền</t>
        </is>
      </c>
      <c r="D16" s="11" t="inlineStr">
        <is>
          <t>Người được ủy quyền dùng account riêng</t>
        </is>
      </c>
      <c r="E16" s="11" t="inlineStr">
        <is>
          <t>Người A ủy quyền Người B</t>
        </is>
      </c>
      <c r="F16" s="11" t="inlineStr">
        <is>
          <t>1. Người B đăng nhập account riêng
2. Thao tác</t>
        </is>
      </c>
      <c r="G16" s="11" t="inlineStr">
        <is>
          <t>Account riêng, đăng nhập trực tiếp. KHÔNG có chức năng ủy quyền trên hệ thống.</t>
        </is>
      </c>
      <c r="H16" s="12" t="inlineStr">
        <is>
          <t>Happy</t>
        </is>
      </c>
      <c r="I16" s="17" t="inlineStr">
        <is>
          <t>Medium</t>
        </is>
      </c>
      <c r="J16" s="11" t="inlineStr">
        <is>
          <t>BRD: không cần ủy quyền trên HT</t>
        </is>
      </c>
    </row>
    <row r="17">
      <c r="A17" s="14" t="n">
        <v>16</v>
      </c>
      <c r="B17" s="15" t="inlineStr">
        <is>
          <t>PQ-016</t>
        </is>
      </c>
      <c r="C17" s="15" t="inlineStr">
        <is>
          <t>Audit</t>
        </is>
      </c>
      <c r="D17" s="15" t="inlineStr">
        <is>
          <t>Tạo GD → ghi log audit</t>
        </is>
      </c>
      <c r="E17" s="15" t="inlineStr">
        <is>
          <t>CV tạo GD mới</t>
        </is>
      </c>
      <c r="F17" s="15" t="inlineStr">
        <is>
          <t>1. Tạo GD
2. Xem lịch sử</t>
        </is>
      </c>
      <c r="G17" s="15" t="inlineStr">
        <is>
          <t>Log: User ID, Họ tên, Đơn vị, Timestamp, Sự kiện = Tạo GD.</t>
        </is>
      </c>
      <c r="H17" s="12" t="inlineStr">
        <is>
          <t>Happy</t>
        </is>
      </c>
      <c r="I17" s="13" t="inlineStr">
        <is>
          <t>Critical</t>
        </is>
      </c>
      <c r="J17" s="15" t="inlineStr"/>
    </row>
    <row r="18">
      <c r="A18" s="10" t="n">
        <v>17</v>
      </c>
      <c r="B18" s="11" t="inlineStr">
        <is>
          <t>PQ-017</t>
        </is>
      </c>
      <c r="C18" s="11" t="inlineStr">
        <is>
          <t>Audit</t>
        </is>
      </c>
      <c r="D18" s="11" t="inlineStr">
        <is>
          <t>Sửa GD → ghi log giá trị cũ + mới</t>
        </is>
      </c>
      <c r="E18" s="11" t="inlineStr">
        <is>
          <t>CV sửa tỷ giá từ 26,000 → 26,100</t>
        </is>
      </c>
      <c r="F18" s="11" t="inlineStr">
        <is>
          <t>1. Sửa
2. Xem lịch sử</t>
        </is>
      </c>
      <c r="G18" s="11" t="inlineStr">
        <is>
          <t>Log: Giá trị cũ = 26,000; Giá trị mới = 26,100.</t>
        </is>
      </c>
      <c r="H18" s="12" t="inlineStr">
        <is>
          <t>Happy</t>
        </is>
      </c>
      <c r="I18" s="13" t="inlineStr">
        <is>
          <t>Critical</t>
        </is>
      </c>
      <c r="J18" s="11" t="inlineStr"/>
    </row>
    <row r="19">
      <c r="A19" s="14" t="n">
        <v>18</v>
      </c>
      <c r="B19" s="15" t="inlineStr">
        <is>
          <t>PQ-018</t>
        </is>
      </c>
      <c r="C19" s="15" t="inlineStr">
        <is>
          <t>Audit</t>
        </is>
      </c>
      <c r="D19" s="15" t="inlineStr">
        <is>
          <t>Từ chối → log lý do + trạng thái trước/sau</t>
        </is>
      </c>
      <c r="E19" s="15" t="inlineStr">
        <is>
          <t>GĐ từ chối GD</t>
        </is>
      </c>
      <c r="F19" s="15" t="inlineStr">
        <is>
          <t>1. Xem lịch sử</t>
        </is>
      </c>
      <c r="G19" s="15" t="inlineStr">
        <is>
          <t>Log: Trạng thái trước = Chờ K.NV duyệt, Trạng thái sau = Từ chối, Lý do = [text].</t>
        </is>
      </c>
      <c r="H19" s="12" t="inlineStr">
        <is>
          <t>Happy</t>
        </is>
      </c>
      <c r="I19" s="13" t="inlineStr">
        <is>
          <t>Critical</t>
        </is>
      </c>
      <c r="J19" s="15" t="inlineStr"/>
    </row>
    <row r="20">
      <c r="A20" s="10" t="n">
        <v>19</v>
      </c>
      <c r="B20" s="11" t="inlineStr">
        <is>
          <t>PQ-019</t>
        </is>
      </c>
      <c r="C20" s="11" t="inlineStr">
        <is>
          <t>Audit</t>
        </is>
      </c>
      <c r="D20" s="11" t="inlineStr">
        <is>
          <t>Log append-only: KHÔNG cho sửa/xóa</t>
        </is>
      </c>
      <c r="E20" s="11" t="inlineStr">
        <is>
          <t>Audit log đã tạo</t>
        </is>
      </c>
      <c r="F20" s="11" t="inlineStr">
        <is>
          <t>1. Cố sửa log
2. Cố xóa log</t>
        </is>
      </c>
      <c r="G20" s="11" t="inlineStr">
        <is>
          <t>CHẶN. Audit trail chỉ append, không sửa/xóa.</t>
        </is>
      </c>
      <c r="H20" s="19" t="inlineStr">
        <is>
          <t>Negative</t>
        </is>
      </c>
      <c r="I20" s="13" t="inlineStr">
        <is>
          <t>Critical</t>
        </is>
      </c>
      <c r="J20" s="11" t="inlineStr">
        <is>
          <t>BRD mục 8.3</t>
        </is>
      </c>
    </row>
    <row r="21">
      <c r="A21" s="14" t="n">
        <v>20</v>
      </c>
      <c r="B21" s="15" t="inlineStr">
        <is>
          <t>PQ-020</t>
        </is>
      </c>
      <c r="C21" s="15" t="inlineStr">
        <is>
          <t>Audit</t>
        </is>
      </c>
      <c r="D21" s="15" t="inlineStr">
        <is>
          <t>Snapshot hạn mức khi QLRR duyệt</t>
        </is>
      </c>
      <c r="E21" s="15" t="inlineStr">
        <is>
          <t>QLRR duyệt hạn mức thành công</t>
        </is>
      </c>
      <c r="F21" s="15" t="inlineStr">
        <is>
          <t>1. Xem audit trail</t>
        </is>
      </c>
      <c r="G21" s="15" t="inlineStr">
        <is>
          <t>Snapshot: hạn mức cấp, đã SD, còn lại tại thời điểm duyệt.</t>
        </is>
      </c>
      <c r="H21" s="12" t="inlineStr">
        <is>
          <t>Happy</t>
        </is>
      </c>
      <c r="I21" s="16" t="inlineStr">
        <is>
          <t>High</t>
        </is>
      </c>
      <c r="J21" s="15" t="inlineStr"/>
    </row>
    <row r="22">
      <c r="A22" s="10" t="n">
        <v>21</v>
      </c>
      <c r="B22" s="11" t="inlineStr">
        <is>
          <t>PQ-021</t>
        </is>
      </c>
      <c r="C22" s="11" t="inlineStr">
        <is>
          <t>Audit</t>
        </is>
      </c>
      <c r="D22" s="11" t="inlineStr">
        <is>
          <t>Mỗi GD có tab Lịch sử hiển thị timeline</t>
        </is>
      </c>
      <c r="E22" s="11" t="inlineStr">
        <is>
          <t>GD đã qua nhiều bước</t>
        </is>
      </c>
      <c r="F22" s="11" t="inlineStr">
        <is>
          <t>1. Mở GD
2. Vào tab Lịch sử</t>
        </is>
      </c>
      <c r="G22" s="11" t="inlineStr">
        <is>
          <t>Timeline đầy đủ các hành động theo thứ tự thời gian.</t>
        </is>
      </c>
      <c r="H22" s="12" t="inlineStr">
        <is>
          <t>Happy</t>
        </is>
      </c>
      <c r="I22" s="16" t="inlineStr">
        <is>
          <t>High</t>
        </is>
      </c>
      <c r="J22" s="11" t="inlineStr"/>
    </row>
    <row r="23">
      <c r="A23" s="14" t="n">
        <v>22</v>
      </c>
      <c r="B23" s="15" t="inlineStr">
        <is>
          <t>PQ-022</t>
        </is>
      </c>
      <c r="C23" s="15" t="inlineStr">
        <is>
          <t>Audit</t>
        </is>
      </c>
      <c r="D23" s="15" t="inlineStr">
        <is>
          <t>Quyền xem lịch sử: TP K.NV trở lên + QLRR + KTTC</t>
        </is>
      </c>
      <c r="E23" s="15" t="inlineStr">
        <is>
          <t>Đăng nhập CV K.NV</t>
        </is>
      </c>
      <c r="F23" s="15" t="inlineStr">
        <is>
          <t>1. CV K.NV xem lịch sử</t>
        </is>
      </c>
      <c r="G23" s="15" t="inlineStr">
        <is>
          <t>CV K.NV: kiểm tra BRD — TP K.NV trở lên mới xem được.</t>
        </is>
      </c>
      <c r="H23" s="18" t="inlineStr">
        <is>
          <t>Edge</t>
        </is>
      </c>
      <c r="I23" s="17" t="inlineStr">
        <is>
          <t>Medium</t>
        </is>
      </c>
      <c r="J23" s="15" t="inlineStr">
        <is>
          <t>BRD mục 8.3</t>
        </is>
      </c>
    </row>
    <row r="24">
      <c r="A24" s="10" t="n">
        <v>23</v>
      </c>
      <c r="B24" s="11" t="inlineStr">
        <is>
          <t>PQ-023</t>
        </is>
      </c>
      <c r="C24" s="11" t="inlineStr">
        <is>
          <t>Audit</t>
        </is>
      </c>
      <c r="D24" s="11" t="inlineStr">
        <is>
          <t>Lưu trữ vĩnh viễn, không purge</t>
        </is>
      </c>
      <c r="E24" s="11" t="inlineStr">
        <is>
          <t>Audit log cũ &gt; 1 năm</t>
        </is>
      </c>
      <c r="F24" s="11" t="inlineStr">
        <is>
          <t>1. Kiểm tra log cũ</t>
        </is>
      </c>
      <c r="G24" s="11" t="inlineStr">
        <is>
          <t>Vẫn truy xuất được. Không có cơ chế purge.</t>
        </is>
      </c>
      <c r="H24" s="12" t="inlineStr">
        <is>
          <t>Happy</t>
        </is>
      </c>
      <c r="I24" s="17" t="inlineStr">
        <is>
          <t>Medium</t>
        </is>
      </c>
      <c r="J24" s="11" t="inlineStr"/>
    </row>
    <row r="25">
      <c r="A25" s="14" t="n">
        <v>24</v>
      </c>
      <c r="B25" s="15" t="inlineStr">
        <is>
          <t>PQ-024</t>
        </is>
      </c>
      <c r="C25" s="15" t="inlineStr">
        <is>
          <t>Audit</t>
        </is>
      </c>
      <c r="D25" s="15" t="inlineStr">
        <is>
          <t>14 loại sự kiện đều ghi log</t>
        </is>
      </c>
      <c r="E25" s="15" t="inlineStr">
        <is>
          <t>Thực hiện lần lượt 14 loại sự kiện</t>
        </is>
      </c>
      <c r="F25" s="15" t="inlineStr">
        <is>
          <t>1. Tạo, Sửa, Submit, Duyệt C1, Duyệt C2, QLRR, KTTC C1, KTTC C2, TTQT, Recall, Yêu cầu hủy, Duyệt hủy C1, Duyệt hủy C2, Clone</t>
        </is>
      </c>
      <c r="G25" s="15" t="inlineStr">
        <is>
          <t>Tất cả 14 sự kiện đều có log entry.</t>
        </is>
      </c>
      <c r="H25" s="12" t="inlineStr">
        <is>
          <t>Happy</t>
        </is>
      </c>
      <c r="I25" s="13" t="inlineStr">
        <is>
          <t>Critical</t>
        </is>
      </c>
      <c r="J25" s="15" t="inlineStr">
        <is>
          <t>BRD mục 8.1</t>
        </is>
      </c>
    </row>
    <row r="26">
      <c r="A26" s="10" t="n">
        <v>25</v>
      </c>
      <c r="B26" s="11" t="inlineStr">
        <is>
          <t>PQ-025</t>
        </is>
      </c>
      <c r="C26" s="11" t="inlineStr">
        <is>
          <t>Notification</t>
        </is>
      </c>
      <c r="D26" s="11" t="inlineStr">
        <is>
          <t>Chuyển trạng thái → In-app notify người bước tiếp</t>
        </is>
      </c>
      <c r="E26" s="11" t="inlineStr">
        <is>
          <t>GD chuyển từ Open → Chờ K.NV duyệt</t>
        </is>
      </c>
      <c r="F26" s="11" t="inlineStr">
        <is>
          <t>1. Kiểm tra notification</t>
        </is>
      </c>
      <c r="G26" s="11" t="inlineStr">
        <is>
          <t>In-app notify GĐ TT/GĐ Khối.</t>
        </is>
      </c>
      <c r="H26" s="12" t="inlineStr">
        <is>
          <t>Happy</t>
        </is>
      </c>
      <c r="I26" s="16" t="inlineStr">
        <is>
          <t>High</t>
        </is>
      </c>
      <c r="J26" s="11" t="inlineStr"/>
    </row>
    <row r="27">
      <c r="A27" s="14" t="n">
        <v>26</v>
      </c>
      <c r="B27" s="15" t="inlineStr">
        <is>
          <t>PQ-026</t>
        </is>
      </c>
      <c r="C27" s="15" t="inlineStr">
        <is>
          <t>Notification</t>
        </is>
      </c>
      <c r="D27" s="15" t="inlineStr">
        <is>
          <t>GĐ từ chối → In-app notify CV K.NV</t>
        </is>
      </c>
      <c r="E27" s="15" t="inlineStr">
        <is>
          <t>GĐ từ chối GD</t>
        </is>
      </c>
      <c r="F27" s="15" t="inlineStr">
        <is>
          <t>1. Kiểm tra notification CV</t>
        </is>
      </c>
      <c r="G27" s="15" t="inlineStr">
        <is>
          <t>CV nhận in-app notification.</t>
        </is>
      </c>
      <c r="H27" s="12" t="inlineStr">
        <is>
          <t>Happy</t>
        </is>
      </c>
      <c r="I27" s="16" t="inlineStr">
        <is>
          <t>High</t>
        </is>
      </c>
      <c r="J27" s="15" t="inlineStr"/>
    </row>
    <row r="28">
      <c r="A28" s="10" t="n">
        <v>27</v>
      </c>
      <c r="B28" s="11" t="inlineStr">
        <is>
          <t>PQ-027</t>
        </is>
      </c>
      <c r="C28" s="11" t="inlineStr">
        <is>
          <t>Notification</t>
        </is>
      </c>
      <c r="D28" s="11" t="inlineStr">
        <is>
          <t>Hủy GD có TTQT → Email cả KTTC + TTQT</t>
        </is>
      </c>
      <c r="E28" s="11" t="inlineStr">
        <is>
          <t>Hủy GD đã hạch toán, TTQT = Có</t>
        </is>
      </c>
      <c r="F28" s="11" t="inlineStr">
        <is>
          <t>1. Hủy thành công
2. Kiểm tra email</t>
        </is>
      </c>
      <c r="G28" s="11" t="inlineStr">
        <is>
          <t>Email gửi P.KTTC + BP.TTQT.</t>
        </is>
      </c>
      <c r="H28" s="12" t="inlineStr">
        <is>
          <t>Happy</t>
        </is>
      </c>
      <c r="I28" s="13" t="inlineStr">
        <is>
          <t>Critical</t>
        </is>
      </c>
      <c r="J28" s="11" t="inlineStr">
        <is>
          <t>v3: email thêm TTQT</t>
        </is>
      </c>
    </row>
    <row r="29">
      <c r="A29" s="14" t="n">
        <v>28</v>
      </c>
      <c r="B29" s="15" t="inlineStr">
        <is>
          <t>PQ-028</t>
        </is>
      </c>
      <c r="C29" s="15" t="inlineStr">
        <is>
          <t>Notification</t>
        </is>
      </c>
      <c r="D29" s="15" t="inlineStr">
        <is>
          <t>Hủy GD không TTQT → Email CHỈ KTTC</t>
        </is>
      </c>
      <c r="E29" s="15" t="inlineStr">
        <is>
          <t>Hủy GD đã hạch toán, TTQT = Không</t>
        </is>
      </c>
      <c r="F29" s="15" t="inlineStr">
        <is>
          <t>1. Hủy thành công
2. Kiểm tra email</t>
        </is>
      </c>
      <c r="G29" s="15" t="inlineStr">
        <is>
          <t>Email CHỈ gửi P.KTTC. KHÔNG gửi TTQT.</t>
        </is>
      </c>
      <c r="H29" s="12" t="inlineStr">
        <is>
          <t>Happy</t>
        </is>
      </c>
      <c r="I29" s="16" t="inlineStr">
        <is>
          <t>High</t>
        </is>
      </c>
      <c r="J29" s="15" t="inlineStr"/>
    </row>
    <row r="30">
      <c r="A30" s="10" t="n">
        <v>29</v>
      </c>
      <c r="B30" s="11" t="inlineStr">
        <is>
          <t>PQ-029</t>
        </is>
      </c>
      <c r="C30" s="11" t="inlineStr">
        <is>
          <t>Xem dữ liệu</t>
        </is>
      </c>
      <c r="D30" s="11" t="inlineStr">
        <is>
          <t>K.NV (CV/TP/GĐ) xem toàn bộ GD</t>
        </is>
      </c>
      <c r="E30" s="11" t="inlineStr">
        <is>
          <t>Đăng nhập CV K.NV</t>
        </is>
      </c>
      <c r="F30" s="11" t="inlineStr">
        <is>
          <t>1. Xem GD FX, GTCG, MM</t>
        </is>
      </c>
      <c r="G30" s="11" t="inlineStr">
        <is>
          <t>Xem được toàn bộ GD tất cả module.</t>
        </is>
      </c>
      <c r="H30" s="12" t="inlineStr">
        <is>
          <t>Happy</t>
        </is>
      </c>
      <c r="I30" s="16" t="inlineStr">
        <is>
          <t>High</t>
        </is>
      </c>
      <c r="J30" s="11" t="inlineStr"/>
    </row>
    <row r="31">
      <c r="A31" s="14" t="n">
        <v>30</v>
      </c>
      <c r="B31" s="15" t="inlineStr">
        <is>
          <t>PQ-030</t>
        </is>
      </c>
      <c r="C31" s="15" t="inlineStr">
        <is>
          <t>Xem dữ liệu</t>
        </is>
      </c>
      <c r="D31" s="15" t="inlineStr">
        <is>
          <t>QLRR KHÔNG xem được GD FX, GTCG</t>
        </is>
      </c>
      <c r="E31" s="15" t="inlineStr">
        <is>
          <t>Đăng nhập CV QLRR</t>
        </is>
      </c>
      <c r="F31" s="15" t="inlineStr">
        <is>
          <t>1. Cố truy cập FX, GTCG</t>
        </is>
      </c>
      <c r="G31" s="15" t="inlineStr">
        <is>
          <t>CHẶN. QLRR chỉ xem MM Liên NH cần duyệt hạn mức.</t>
        </is>
      </c>
      <c r="H31" s="19" t="inlineStr">
        <is>
          <t>Negative</t>
        </is>
      </c>
      <c r="I31" s="13" t="inlineStr">
        <is>
          <t>Critical</t>
        </is>
      </c>
      <c r="J31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2026-04-03T01:42:55Z</dcterms:created>
  <dcterms:modified xmlns:dcterms="http://purl.org/dc/terms/" xmlns:xsi="http://www.w3.org/2001/XMLSchema-instance" xsi:type="dcterms:W3CDTF">2026-04-05T02:02:15Z</dcterms:modified>
</cp:coreProperties>
</file>